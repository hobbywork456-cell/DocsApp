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2F6348B-D2F7-47C2-ABD7-DE1D9173E742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RFQ" sheetId="1" r:id="rId1"/>
    <sheet name="Workstn and Glass Kochi" sheetId="11" r:id="rId2"/>
    <sheet name="Workstn and Glass TVM" sheetId="7" r:id="rId3"/>
    <sheet name="Lights and Fitting TVM" sheetId="8" r:id="rId4"/>
    <sheet name="Light and Fitting Kochi" sheetId="15" r:id="rId5"/>
    <sheet name="Laptops and Monitors kochi" sheetId="9" r:id="rId6"/>
    <sheet name="Laptops and Monitor TVM" sheetId="14" r:id="rId7"/>
    <sheet name="Other Assets Items TVM" sheetId="10" r:id="rId8"/>
    <sheet name="Other Assets Kochi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8" l="1"/>
  <c r="G53" i="8"/>
  <c r="D57" i="7"/>
  <c r="E56" i="7"/>
  <c r="E57" i="7"/>
  <c r="F56" i="7"/>
  <c r="F57" i="7"/>
  <c r="E35" i="7"/>
  <c r="F35" i="7"/>
  <c r="J69" i="14"/>
  <c r="E17" i="11"/>
  <c r="F17" i="11"/>
  <c r="H14" i="15"/>
  <c r="H13" i="15"/>
  <c r="H12" i="15"/>
  <c r="H11" i="15"/>
  <c r="H10" i="15"/>
  <c r="H9" i="15"/>
  <c r="H8" i="15"/>
  <c r="H7" i="15"/>
  <c r="H6" i="15"/>
  <c r="H5" i="15"/>
  <c r="H15" i="15" s="1"/>
  <c r="H4" i="15"/>
  <c r="G48" i="8"/>
  <c r="G52" i="8"/>
  <c r="G51" i="8"/>
  <c r="G50" i="8"/>
  <c r="G46" i="8"/>
  <c r="G44" i="8"/>
  <c r="G37" i="8"/>
  <c r="G33" i="8"/>
  <c r="G30" i="8"/>
  <c r="G26" i="8"/>
  <c r="G25" i="8"/>
  <c r="G21" i="8"/>
  <c r="G20" i="8"/>
  <c r="G19" i="8"/>
  <c r="G16" i="8"/>
  <c r="F55" i="7"/>
  <c r="F54" i="7"/>
  <c r="F53" i="7"/>
  <c r="F52" i="7"/>
  <c r="F51" i="7"/>
  <c r="F50" i="7"/>
  <c r="F49" i="7"/>
  <c r="F48" i="7"/>
  <c r="F47" i="7"/>
  <c r="F44" i="7"/>
  <c r="E55" i="7"/>
  <c r="E54" i="7"/>
  <c r="E53" i="7"/>
  <c r="E52" i="7"/>
  <c r="E51" i="7"/>
  <c r="E50" i="7"/>
  <c r="E49" i="7"/>
  <c r="E48" i="7"/>
  <c r="E47" i="7"/>
  <c r="E44" i="7"/>
  <c r="F23" i="13"/>
  <c r="E23" i="13"/>
  <c r="F22" i="13"/>
  <c r="E22" i="13"/>
  <c r="F16" i="13"/>
  <c r="F15" i="13"/>
  <c r="E16" i="13"/>
  <c r="E15" i="13"/>
  <c r="F7" i="13"/>
  <c r="F6" i="13"/>
  <c r="F5" i="13"/>
  <c r="F3" i="13"/>
  <c r="E7" i="13"/>
  <c r="E6" i="13"/>
  <c r="E5" i="13"/>
  <c r="E3" i="13"/>
  <c r="G8" i="10"/>
  <c r="G7" i="10"/>
  <c r="G6" i="10"/>
  <c r="G5" i="10"/>
  <c r="G4" i="10"/>
  <c r="E8" i="10"/>
  <c r="E7" i="10"/>
  <c r="E6" i="10"/>
  <c r="E5" i="10"/>
  <c r="E4" i="10"/>
  <c r="D8" i="10"/>
  <c r="D7" i="10"/>
  <c r="D6" i="10"/>
  <c r="D5" i="10"/>
  <c r="D4" i="10"/>
  <c r="G58" i="8" l="1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G7" i="15"/>
  <c r="F7" i="15"/>
  <c r="G6" i="15"/>
  <c r="F6" i="15"/>
  <c r="G5" i="15"/>
  <c r="F5" i="15"/>
  <c r="G4" i="15"/>
  <c r="F4" i="15"/>
  <c r="F15" i="15" s="1"/>
  <c r="G17" i="10"/>
  <c r="G24" i="10" s="1"/>
  <c r="C13" i="1" s="1"/>
  <c r="E17" i="10"/>
  <c r="E24" i="10" s="1"/>
  <c r="D17" i="10"/>
  <c r="D24" i="10" s="1"/>
  <c r="F12" i="10"/>
  <c r="F11" i="10"/>
  <c r="F24" i="10" s="1"/>
  <c r="F37" i="13"/>
  <c r="F38" i="13"/>
  <c r="F39" i="13"/>
  <c r="F41" i="13"/>
  <c r="E41" i="13"/>
  <c r="F40" i="13"/>
  <c r="E39" i="13"/>
  <c r="E38" i="13"/>
  <c r="E37" i="13"/>
  <c r="E35" i="13"/>
  <c r="F31" i="13"/>
  <c r="E31" i="13"/>
  <c r="F30" i="13"/>
  <c r="E30" i="13"/>
  <c r="F29" i="13"/>
  <c r="E29" i="13"/>
  <c r="H41" i="13"/>
  <c r="E40" i="13"/>
  <c r="H39" i="13"/>
  <c r="H38" i="13"/>
  <c r="H37" i="13"/>
  <c r="G36" i="13"/>
  <c r="H35" i="13"/>
  <c r="H34" i="13"/>
  <c r="E34" i="13" s="1"/>
  <c r="H31" i="13"/>
  <c r="H30" i="13"/>
  <c r="H29" i="13"/>
  <c r="G24" i="13"/>
  <c r="G21" i="13"/>
  <c r="G14" i="13"/>
  <c r="G13" i="13"/>
  <c r="G12" i="13"/>
  <c r="G4" i="13"/>
  <c r="D25" i="13"/>
  <c r="D17" i="13"/>
  <c r="D8" i="13"/>
  <c r="E76" i="14"/>
  <c r="I35" i="9"/>
  <c r="E32" i="9"/>
  <c r="D12" i="1" s="1"/>
  <c r="C11" i="1" l="1"/>
  <c r="H44" i="13"/>
  <c r="D13" i="1" s="1"/>
  <c r="G15" i="15"/>
  <c r="C12" i="1"/>
  <c r="F12" i="1" s="1"/>
  <c r="F44" i="13"/>
  <c r="E44" i="13"/>
  <c r="F13" i="1"/>
  <c r="D33" i="13"/>
  <c r="G33" i="13" s="1"/>
  <c r="D32" i="13"/>
  <c r="F29" i="11"/>
  <c r="E29" i="11"/>
  <c r="F28" i="11"/>
  <c r="E28" i="11"/>
  <c r="F27" i="11"/>
  <c r="E27" i="11"/>
  <c r="F26" i="11"/>
  <c r="E26" i="11"/>
  <c r="F25" i="11"/>
  <c r="E25" i="11"/>
  <c r="F18" i="11"/>
  <c r="E18" i="11"/>
  <c r="F16" i="11"/>
  <c r="E16" i="11"/>
  <c r="F15" i="11"/>
  <c r="E15" i="11"/>
  <c r="F14" i="11"/>
  <c r="E14" i="11"/>
  <c r="F9" i="11"/>
  <c r="E9" i="11"/>
  <c r="F8" i="11"/>
  <c r="E8" i="11"/>
  <c r="F7" i="11"/>
  <c r="E7" i="11"/>
  <c r="F6" i="11"/>
  <c r="E6" i="11"/>
  <c r="F5" i="11"/>
  <c r="E5" i="11"/>
  <c r="F3" i="11"/>
  <c r="E3" i="11"/>
  <c r="F4" i="11"/>
  <c r="E4" i="11"/>
  <c r="F58" i="8"/>
  <c r="E58" i="8"/>
  <c r="F34" i="7"/>
  <c r="E34" i="7"/>
  <c r="F33" i="7"/>
  <c r="E33" i="7"/>
  <c r="F32" i="7"/>
  <c r="E32" i="7"/>
  <c r="F30" i="7"/>
  <c r="E30" i="7"/>
  <c r="F26" i="7"/>
  <c r="E26" i="7"/>
  <c r="F23" i="7"/>
  <c r="E23" i="7"/>
  <c r="F20" i="7"/>
  <c r="E20" i="7"/>
  <c r="F17" i="7"/>
  <c r="E17" i="7"/>
  <c r="F14" i="7"/>
  <c r="E14" i="7"/>
  <c r="F12" i="7"/>
  <c r="E12" i="7"/>
  <c r="F9" i="7"/>
  <c r="E9" i="7"/>
  <c r="F6" i="7"/>
  <c r="E6" i="7"/>
  <c r="F5" i="7"/>
  <c r="E5" i="7"/>
  <c r="F2" i="7"/>
  <c r="E2" i="7"/>
  <c r="G32" i="13" l="1"/>
  <c r="G44" i="13" s="1"/>
  <c r="D42" i="13"/>
  <c r="F10" i="11"/>
  <c r="E38" i="7"/>
  <c r="E19" i="11"/>
  <c r="E31" i="11"/>
  <c r="F38" i="7"/>
  <c r="C9" i="1" s="1"/>
  <c r="F19" i="11"/>
  <c r="F31" i="11"/>
  <c r="E10" i="11"/>
  <c r="C10" i="1" l="1"/>
  <c r="C8" i="1"/>
  <c r="E21" i="11"/>
  <c r="D8" i="1" s="1"/>
  <c r="D10" i="1"/>
  <c r="D11" i="1"/>
  <c r="F11" i="1" s="1"/>
  <c r="F21" i="11"/>
  <c r="F8" i="1" l="1"/>
  <c r="F10" i="1"/>
  <c r="D9" i="1"/>
  <c r="F9" i="1" s="1"/>
  <c r="F15" i="1" s="1"/>
</calcChain>
</file>

<file path=xl/sharedStrings.xml><?xml version="1.0" encoding="utf-8"?>
<sst xmlns="http://schemas.openxmlformats.org/spreadsheetml/2006/main" count="779" uniqueCount="418">
  <si>
    <t>Address</t>
  </si>
  <si>
    <t>Sum Insured</t>
  </si>
  <si>
    <t>Amount</t>
  </si>
  <si>
    <t>Model</t>
  </si>
  <si>
    <t>Value</t>
  </si>
  <si>
    <t>Fire</t>
  </si>
  <si>
    <t>Burglary</t>
  </si>
  <si>
    <t>TV</t>
  </si>
  <si>
    <t>Burglary with Theft</t>
  </si>
  <si>
    <t>Mechanical Breakdown</t>
  </si>
  <si>
    <t>Electronic Equipment Insurance</t>
  </si>
  <si>
    <t>Policy Type</t>
  </si>
  <si>
    <t>*Note: Values taken as on reinstatement basis</t>
  </si>
  <si>
    <t>Policy Type Required</t>
  </si>
  <si>
    <t>Work Stations Description</t>
  </si>
  <si>
    <t>Quantity</t>
  </si>
  <si>
    <t>Glass Partitions Description</t>
  </si>
  <si>
    <t>LINEAR work stations of size 1200mm (W )x 600mm (D)
x 750mm (H)</t>
  </si>
  <si>
    <t>Full Glass Partitions</t>
  </si>
  <si>
    <t>LINEAR work stations of size 1350mm (W )x 600mm (D)</t>
  </si>
  <si>
    <t>x 750mm (H)</t>
  </si>
  <si>
    <t>DOORS</t>
  </si>
  <si>
    <t>Table at Call booth -900mm (W) x 600mm (D) x 750mm</t>
  </si>
  <si>
    <t>(i) shutter size- 90cmx 240 cm.</t>
  </si>
  <si>
    <t>Cabin table of size1500mm (W )x 750mm (D) x 750mm</t>
  </si>
  <si>
    <t>(ii) shutter size- 80cmx 240 cm.</t>
  </si>
  <si>
    <t>(H) with side storage of 1200mm (W )x 450mm (D) x</t>
  </si>
  <si>
    <t>(iii) shutter size- 100cmx 240 cm.</t>
  </si>
  <si>
    <t>750mm(H)</t>
  </si>
  <si>
    <t>(iv) shutter size- 110cmx 240 cm.</t>
  </si>
  <si>
    <t>Meeting Room Table of Size:- 2100mm(W) x 900mm(D) x</t>
  </si>
  <si>
    <t>(v) Entrance door-double shutter of size- 188cmx 196 cm.</t>
  </si>
  <si>
    <t>750mm(H) with 2 No. flip up</t>
  </si>
  <si>
    <t>(vi)Supply and fixing of Handles of size 32mm x 1000mm</t>
  </si>
  <si>
    <t>(Geze ID no.98163105) for entrance doors.</t>
  </si>
  <si>
    <t>Low Height Storage- Size:- 7200mm(W) x 450mm(D) x</t>
  </si>
  <si>
    <t>(i)size of the shutter is 80cmx 240 cm.</t>
  </si>
  <si>
    <t>900mm (H)</t>
  </si>
  <si>
    <t>(i)size of the opening 90cmx 240 cm.</t>
  </si>
  <si>
    <t>Low Height Storage- Size:- 16500mm(W) x 450mm(D) x</t>
  </si>
  <si>
    <t>Medium Height Storage- Size:- 1200mm(W) x 450mm(D)</t>
  </si>
  <si>
    <t>x 1200mm (H)</t>
  </si>
  <si>
    <t>Full Height Storage- Size:- 1500mm(W) x 450mm(D) x</t>
  </si>
  <si>
    <t>2100mm (H)</t>
  </si>
  <si>
    <t>Full Height Storage- Size:- 1050mm(W) x 450mm(D) x</t>
  </si>
  <si>
    <t>Swing door storage 1800L x 450D x 1200ht</t>
  </si>
  <si>
    <t>Trainer Table 1200L x 600D x 750ht</t>
  </si>
  <si>
    <t>L shape swing door storage 2550+900L x 450D x 2400ht</t>
  </si>
  <si>
    <t>Wipro LED Lights  Description</t>
  </si>
  <si>
    <t>Supply and installation of WIPRO make LINEOS LED/LM</t>
  </si>
  <si>
    <t>22 40W /20W Linear suspended luminaire,</t>
  </si>
  <si>
    <t>(i)WIPRO Product Cat No.LM22-501-XXX-57-WX from</t>
  </si>
  <si>
    <t>existing rcc roof to +270cm.</t>
  </si>
  <si>
    <t>(ii) WIPRO Product Cat No.LM22-251-XXX-57-WX from</t>
  </si>
  <si>
    <t>existing rcc roof to +270cm</t>
  </si>
  <si>
    <t>WIPRO Product Cat No.LM29-451-XXX 57-XX along with</t>
  </si>
  <si>
    <t>Frame 9180PO1089-LP</t>
  </si>
  <si>
    <t>WIPRO Product Cat No.LD80-350-XXX-60-XX :- 6W</t>
  </si>
  <si>
    <t>WIPRO Product Cat No.LD80-530-XXX-60-XX :- 9W</t>
  </si>
  <si>
    <t>WIPRO Product Cat No.LD80-101-XXX-60-XX :- 12W</t>
  </si>
  <si>
    <t>WIPRO Product Cat No.LD80-131-XXX-60-XX :- 15W</t>
  </si>
  <si>
    <t>WIPRO Product Cat No.LD80-171-XXX-60-XX :- 18W</t>
  </si>
  <si>
    <t>WIPRO Product Cat No.LD30-201-36W-40-PL(330mm) :-</t>
  </si>
  <si>
    <t>20W</t>
  </si>
  <si>
    <t>WIPRO Product Cat No.LD30-101-36W-40-PL(330mm) :-</t>
  </si>
  <si>
    <t>10W</t>
  </si>
  <si>
    <t>WIPRO Product Cat No.LD99-151--XX57SMWH-12W</t>
  </si>
  <si>
    <t>WIPRO Product Cat No.LD99-211--XX57SMWH-15W</t>
  </si>
  <si>
    <t>Product Cat No.LS06-015-120-WH-50 :- 15W &amp; LG40-078</t>
  </si>
  <si>
    <t>Supply and installation of Pasolite make pendant along</t>
  </si>
  <si>
    <t>with E-27 holder and lamp</t>
  </si>
  <si>
    <t>Pasolite Product Cat No.PD001, 350mm dia/H-320 mm</t>
  </si>
  <si>
    <t>Pasolite Product Cat No.PD002,400mm dia/H-210 mm</t>
  </si>
  <si>
    <t>Supply and installation of WIPRO make Orbit Ring</t>
  </si>
  <si>
    <t>800mm dia. 35-40W/ 4000K CCT.premium pendant</t>
  </si>
  <si>
    <t>Product Cat No.LM 230R-781-xx-40-XW</t>
  </si>
  <si>
    <t>Supply and installation of WIPRO make Orbit 600mm</t>
  </si>
  <si>
    <t>dia. 20-30W/ 4000K CCT.premium pendant</t>
  </si>
  <si>
    <t>Product Cat No.LM 230-481-xx-40-XW</t>
  </si>
  <si>
    <t>Supply and installation of WIPRO make SPHERE 300mm</t>
  </si>
  <si>
    <t>dia. premium pendant .</t>
  </si>
  <si>
    <t>Product Cat No.LM84-D300-CRWH</t>
  </si>
  <si>
    <t>Supply and installation of WIPRO make TRIM LED NEO</t>
  </si>
  <si>
    <t>Batterns</t>
  </si>
  <si>
    <t>WIPRO Product Cat No.LL20-111-XXX-65NE3 :- 10W</t>
  </si>
  <si>
    <t>WIPRO Product Cat No.LL20-221-XXX-65ALNE :- 20W</t>
  </si>
  <si>
    <t>Wipro make LD96-141-XXX-65-G1 Iris Neo Nextgen Square 12W light</t>
  </si>
  <si>
    <t xml:space="preserve">Wipro make LED tracklight 36x22w 4000K </t>
  </si>
  <si>
    <t>Wipro make IRIS SLIM Round/LD80 downlighter ( Cat No.LD80-350,LD80-530,LD80-101</t>
  </si>
  <si>
    <t>Wipro make ELITE 2feet X 2 feet 36W G1L1 LED ( CRCO10R038HP57G1L1 )</t>
  </si>
  <si>
    <t>Wipro MS Frame POP ceiling ( Cat No 9180 PO1089 )</t>
  </si>
  <si>
    <t xml:space="preserve">Wipro make IRIS slim round LED panel 18W </t>
  </si>
  <si>
    <t>LAPTOP  Description</t>
  </si>
  <si>
    <t xml:space="preserve"> Serial Number</t>
  </si>
  <si>
    <t>Sl No:</t>
  </si>
  <si>
    <t xml:space="preserve"> Description</t>
  </si>
  <si>
    <t>Dell P2422H</t>
  </si>
  <si>
    <t>CN-09N16K-QDC00-26H-7DFB-A04</t>
  </si>
  <si>
    <t xml:space="preserve">Apple Mac Book Air 13" </t>
  </si>
  <si>
    <t>SC02H904WQ6L5</t>
  </si>
  <si>
    <t>CN-09N16K-QDC00-2CC-4EKI-A04</t>
  </si>
  <si>
    <t>Dell E2422HS</t>
  </si>
  <si>
    <t>CN-085JG6-FCC00-230-DFVB-A02</t>
  </si>
  <si>
    <t>Dell P2217H</t>
  </si>
  <si>
    <t>CN-06N0X5-QDC00-85S-7KMU-A05</t>
  </si>
  <si>
    <t>CN-085JG6-FCC00-29R-AEUB-A03</t>
  </si>
  <si>
    <t>Asus ZenBook 14 UX434F,16GBRAM</t>
  </si>
  <si>
    <t>KBN0CV01A284458</t>
  </si>
  <si>
    <t>Dell E2422HN</t>
  </si>
  <si>
    <t>CN-07D4G6-FCC00-195-ACEB-A00</t>
  </si>
  <si>
    <t>Dell P2415Q</t>
  </si>
  <si>
    <t>CN-0313W3-QDC00-8CG-044B-A12</t>
  </si>
  <si>
    <t>CN-085JG6-FCC00-1AR-D2PB-A00</t>
  </si>
  <si>
    <t>Lenovo IdeaPad 3,11th Gen Intel Core i5,8GB</t>
  </si>
  <si>
    <t>PF2GRCEQ</t>
  </si>
  <si>
    <t>CN-085JG6-FCC00-1BA-C6TB-A00</t>
  </si>
  <si>
    <t>PF2WNHBK</t>
  </si>
  <si>
    <t>CN-09N16K-QDC00-2CC-4EFI-A04</t>
  </si>
  <si>
    <t>PF2W40W2</t>
  </si>
  <si>
    <t>CN-09N16K-QDC00-26H-7S7B-A04</t>
  </si>
  <si>
    <t>PF30ESQQ</t>
  </si>
  <si>
    <t>CN-0M84D9-QDC00-836-2HWB-A05</t>
  </si>
  <si>
    <t>PF30W9V4</t>
  </si>
  <si>
    <t>Dell E2418HN</t>
  </si>
  <si>
    <t>CN-07592Y-QDC00-89B-1L0B-A06</t>
  </si>
  <si>
    <t>PF30YDVS</t>
  </si>
  <si>
    <t>Dell S2216H</t>
  </si>
  <si>
    <t>CN-0P65TN-64180-6AO-0WHT-A00</t>
  </si>
  <si>
    <t>PF30XKTR</t>
  </si>
  <si>
    <t>Dell E2421HN</t>
  </si>
  <si>
    <t>CN-03HYDJ-FCC00-171-CAPL-A04</t>
  </si>
  <si>
    <t>Asus ZenBook 14 i7,8GB,14FHD ( UX433F )</t>
  </si>
  <si>
    <t>JCN0CV11R159514</t>
  </si>
  <si>
    <t>CN-07592Y-QDC00-9B5-25UB-A10</t>
  </si>
  <si>
    <t>Lenovo Thinkpad E14 Gen 2 i5 512GB</t>
  </si>
  <si>
    <t>PF46SSN4</t>
  </si>
  <si>
    <t>CN-0VJRF7-64180-638-2SDT-A00</t>
  </si>
  <si>
    <t>PF3530CY</t>
  </si>
  <si>
    <t>Dell U2718Q</t>
  </si>
  <si>
    <t>CN-0CDX4R-QDC00-94F-0PRL-A06</t>
  </si>
  <si>
    <t>PF31627D</t>
  </si>
  <si>
    <t>CN-07592Y-QDC00-98E-1HML-A09</t>
  </si>
  <si>
    <t>PF3EAGHW</t>
  </si>
  <si>
    <t>CN--0PYJDJ--TV100-01S-0XHI-A11</t>
  </si>
  <si>
    <t>PF3DWYYH</t>
  </si>
  <si>
    <t>CN-09N16K-QDC00-27B-OE0B-A04</t>
  </si>
  <si>
    <t>Dell Inspiron E 3511 i5 512 GB,15.6FHD</t>
  </si>
  <si>
    <t>CN-0DKJWG-64180-68K-03FB-A00</t>
  </si>
  <si>
    <t>Dell Inspiron E 3511 i5 16 GB,15.6FHD</t>
  </si>
  <si>
    <t>CN-03HYDJ-FCC00-19M-CCWI-A04</t>
  </si>
  <si>
    <t>Dell Vostro 3510 i5 512 GB,15.6FHD</t>
  </si>
  <si>
    <t>CN-03HYDJ-FCC00-17Q-CJWB-A04</t>
  </si>
  <si>
    <t>CN-07592Y-QDC00-889-0F8L-A05</t>
  </si>
  <si>
    <t>PG0326YJ</t>
  </si>
  <si>
    <t>CN-09N16K-QDC00-27B-0WU8-A04</t>
  </si>
  <si>
    <t>PG0326T9</t>
  </si>
  <si>
    <t>Dell SE2422H</t>
  </si>
  <si>
    <t>CN-013V6P-FCC00-17T-C2UX-A01</t>
  </si>
  <si>
    <t xml:space="preserve">Asus Zen Book 14 UX433FA </t>
  </si>
  <si>
    <t>K3N0CV07M835123</t>
  </si>
  <si>
    <t>CN-013V6P-FCC00-17T-C2VX-A01</t>
  </si>
  <si>
    <t>PG0327EB</t>
  </si>
  <si>
    <t>CN-0M84D9-QDC00-836-2HPB-A05</t>
  </si>
  <si>
    <t>PG0326TK</t>
  </si>
  <si>
    <t>CN-07D4G6-FCC00-195-AAFB-A00</t>
  </si>
  <si>
    <t>PG0327FX</t>
  </si>
  <si>
    <t>CN-085JG6-FCC00-29R-A37B-A03</t>
  </si>
  <si>
    <t>PG0326ZD</t>
  </si>
  <si>
    <t>CN-09N16K-QDC00-26H-7SAB-A04</t>
  </si>
  <si>
    <t>PG0340QG</t>
  </si>
  <si>
    <t>CN-03HYDJ-FCC00-191-C7UB-A04</t>
  </si>
  <si>
    <t>PG0340VQ</t>
  </si>
  <si>
    <t>CN-07592Y-QDC00-894-0UVB-A06</t>
  </si>
  <si>
    <t>PG0340W8</t>
  </si>
  <si>
    <t>CN-085JG6-FCC00-1AR-CC6B-A00</t>
  </si>
  <si>
    <t>PG0340Q2</t>
  </si>
  <si>
    <t>CN-09N16K-QDC00-25I-93VB-A04</t>
  </si>
  <si>
    <t>PG0340W5</t>
  </si>
  <si>
    <t>CN-085JG6-FCC00-1AR-D2TB-A00</t>
  </si>
  <si>
    <t>PG0340W6</t>
  </si>
  <si>
    <t>CN-085JG6-FCC00-27T-CGWB-A03</t>
  </si>
  <si>
    <t>PG034GWY</t>
  </si>
  <si>
    <t>CN-09N16K-QDC00-319-1NPU-A04</t>
  </si>
  <si>
    <t>PF41N992</t>
  </si>
  <si>
    <t>CN-085JG6-FCC00-230-FM3B-A02</t>
  </si>
  <si>
    <t>PF41N978</t>
  </si>
  <si>
    <t>CN-085JG6-FCC00-230-CKVB-A02</t>
  </si>
  <si>
    <t>PF41FKEM</t>
  </si>
  <si>
    <t>CN-085JG6-FCC00-1BA-CJYB-A00</t>
  </si>
  <si>
    <t>PF41FH67</t>
  </si>
  <si>
    <t>CN-013V6P-FCC00-17T-CLJX-A01</t>
  </si>
  <si>
    <t>PF41N93T</t>
  </si>
  <si>
    <t>CN-085JG6-FCC00-230-A3NB-A02</t>
  </si>
  <si>
    <t>PF41FEZ1</t>
  </si>
  <si>
    <t>CN-085JG6-FCC00-1AR-ANWB-A00</t>
  </si>
  <si>
    <t>PF40QVCS</t>
  </si>
  <si>
    <t>CN-085JG6-FCC00-1AR-D23B-A00</t>
  </si>
  <si>
    <t>PF41VNM9</t>
  </si>
  <si>
    <t>CN-09N16K-QDC00-319-1N4U-A04</t>
  </si>
  <si>
    <t>PF41F1LD</t>
  </si>
  <si>
    <t>CN-09N16K-QDC00-25J-4DEB-A04</t>
  </si>
  <si>
    <t>PF40R41L</t>
  </si>
  <si>
    <t>CN-09N16K-QDC00-31B-26YU-A04</t>
  </si>
  <si>
    <t>Lenovo Thinkpad E15 Gen 2 i5 512GB</t>
  </si>
  <si>
    <t>PF3SL2H8</t>
  </si>
  <si>
    <t>CN-09N16K-QDC0031A-1ILU-A04</t>
  </si>
  <si>
    <t>PF3SL2PP</t>
  </si>
  <si>
    <t>Dell P2417H</t>
  </si>
  <si>
    <t>CN-0VRTCJ-74261-72E-60HL-A00</t>
  </si>
  <si>
    <t>PF3SQRZK</t>
  </si>
  <si>
    <t>CN-09N16K-QDC00-25I-9JUB-A04</t>
  </si>
  <si>
    <t>PF3SM6LL</t>
  </si>
  <si>
    <t>CN-09N16K-QDC00-31A-1IGU-A04</t>
  </si>
  <si>
    <t>PF3SQJRK</t>
  </si>
  <si>
    <t>CN-09N16K-QDC00-319-1N5U-A04</t>
  </si>
  <si>
    <t>Lenovo Thinkpad E15 Gen 4 i5 512GB</t>
  </si>
  <si>
    <t>PF48RT3X</t>
  </si>
  <si>
    <t>CN-0313W3-QDC00-91A-161B-A12</t>
  </si>
  <si>
    <t>PF48RWAA</t>
  </si>
  <si>
    <t>CN-0313W3-QDC00-91A-163B-A12</t>
  </si>
  <si>
    <t>PF46SCQ4</t>
  </si>
  <si>
    <t>PF48RW99</t>
  </si>
  <si>
    <t>PF48R6QN</t>
  </si>
  <si>
    <t>CN-07592Y-QDC00-894-11EB-A06</t>
  </si>
  <si>
    <t>PF46SQF1</t>
  </si>
  <si>
    <t>CN-085JG6-FCC00-1BA-C15B-A00</t>
  </si>
  <si>
    <t>PF34RPHW</t>
  </si>
  <si>
    <t>CN-07592Y-QDC00-88S-0GCB-A05</t>
  </si>
  <si>
    <t>PF34RMMR</t>
  </si>
  <si>
    <t>CN-0313W3-QDC00-91A-165B-A12</t>
  </si>
  <si>
    <t>PG0340QC</t>
  </si>
  <si>
    <t>CN-07592Y-QDC00-9B5-38KB-A10</t>
  </si>
  <si>
    <t>PF2VE4CP</t>
  </si>
  <si>
    <t>CN-0PFR7D-74261-6BN-2CYB-A00</t>
  </si>
  <si>
    <t>Dell Inspiron 15 3000 i5 16 GB,15.6FHD</t>
  </si>
  <si>
    <t>45WX3L3</t>
  </si>
  <si>
    <t>CN-07592Y-QDC00-942-1P9L-A08</t>
  </si>
  <si>
    <t>PF48LT24</t>
  </si>
  <si>
    <t>CN-03HYDJ-FCC00-171-CGPL-A04</t>
  </si>
  <si>
    <t>PF48S7KJ</t>
  </si>
  <si>
    <t>CN-03HYDJ-FCC00-196-AK4L-A04</t>
  </si>
  <si>
    <t>PF48RQSW</t>
  </si>
  <si>
    <t>CN-09N16K-QDC00-31A-1IIU-A04</t>
  </si>
  <si>
    <t>PF36RYE4</t>
  </si>
  <si>
    <t>Dell P2222H</t>
  </si>
  <si>
    <t>CN-0NYFDC-QDC00-22L-0OZU-A03</t>
  </si>
  <si>
    <t>PF309JDG</t>
  </si>
  <si>
    <t>CN-0NYFDC-QDC00-22L-0OTU-A03</t>
  </si>
  <si>
    <t>CN-09N16K-QDC00-2CC-4EN-A04</t>
  </si>
  <si>
    <t>CN-0NYFDC-QDC00-22L-0OUU-A03</t>
  </si>
  <si>
    <t>CN-06N0X5-QDC00-85T-31LU-A05</t>
  </si>
  <si>
    <t>CN-0PFR7D-74261-6BN-30LB-A00</t>
  </si>
  <si>
    <t>CN-09N16K-QDC00-2CC-4E9I-A04</t>
  </si>
  <si>
    <t>CN-03HYDJ-FCC00-17Q-CJFB-A04</t>
  </si>
  <si>
    <t>CN-03HYDJ-FCC00-17Q-AHAB-A04</t>
  </si>
  <si>
    <t>CN-085JG6-FCC00-1AR-C74B-A00</t>
  </si>
  <si>
    <t>CN-013V6P-FCC00-217-ACGX-A01</t>
  </si>
  <si>
    <t>PRINTERS</t>
  </si>
  <si>
    <t>Epson L485</t>
  </si>
  <si>
    <t>Cannon Image Class 3010</t>
  </si>
  <si>
    <t>Canon Pixma G3000 All-in-One Wireless</t>
  </si>
  <si>
    <t>Brother DCP-L2541DW</t>
  </si>
  <si>
    <t>Mi 138.8 cm (55 Inches) 4K Ultra HD Android Smart LED TV 4X</t>
  </si>
  <si>
    <t>VU 4K UHD 55" SMART TV</t>
  </si>
  <si>
    <t>FRIDGE</t>
  </si>
  <si>
    <t>Samsung 253L Fridge ( Sam Ref RT2SA3OZSS 253L )</t>
  </si>
  <si>
    <t>NKORR TECHNOLOGIES PRIVATE LTD
1D CARNIVAL BUILDING, TECHNO PARK, TRIVANDRUM, KERALA-  695581</t>
  </si>
  <si>
    <t>Sl No</t>
  </si>
  <si>
    <t>Workstation Chairs No.</t>
  </si>
  <si>
    <t>1,98,800</t>
  </si>
  <si>
    <t>Pantry Chairs No</t>
  </si>
  <si>
    <t>Foosball Board</t>
  </si>
  <si>
    <t>NA</t>
  </si>
  <si>
    <t>Furniture (Sofa set)</t>
  </si>
  <si>
    <t>PLB Big shelfs with small shelfs</t>
  </si>
  <si>
    <t>Indoor Plants box</t>
  </si>
  <si>
    <t>PLB umberla stand and helmet Rack</t>
  </si>
  <si>
    <t>Tables</t>
  </si>
  <si>
    <t>Linear Workstations</t>
  </si>
  <si>
    <t>Table for booth</t>
  </si>
  <si>
    <t>Pantry table</t>
  </si>
  <si>
    <t>Table for with side storage</t>
  </si>
  <si>
    <t xml:space="preserve">Glass Items </t>
  </si>
  <si>
    <t>Glass wall</t>
  </si>
  <si>
    <t>334 sqf</t>
  </si>
  <si>
    <t>Glass single Swing door</t>
  </si>
  <si>
    <t>Toughened glass Double Swing door</t>
  </si>
  <si>
    <t>Other doors</t>
  </si>
  <si>
    <t>Wooden Doors</t>
  </si>
  <si>
    <t>Bean Bags</t>
  </si>
  <si>
    <t>AC</t>
  </si>
  <si>
    <t>Fire alarm system</t>
  </si>
  <si>
    <t>AC Individual system</t>
  </si>
  <si>
    <t>Total</t>
  </si>
  <si>
    <t>Linear light (custom made type digitech make)- Neutral white -4000k - for workstation area</t>
  </si>
  <si>
    <t>15W LED Down light (corvi or green make or equivalent)</t>
  </si>
  <si>
    <t>10 W LED Down light (corvi or green make )</t>
  </si>
  <si>
    <t>6W LED Down light (corvi or green make )</t>
  </si>
  <si>
    <t>COB Type light fittings</t>
  </si>
  <si>
    <t>Double light fittings</t>
  </si>
  <si>
    <t>Spot light for reception</t>
  </si>
  <si>
    <t>LED Tubes for cove lighting</t>
  </si>
  <si>
    <t>Decorative hanging pendent</t>
  </si>
  <si>
    <t>Hanging lights</t>
  </si>
  <si>
    <t>Decorative spot light at reception</t>
  </si>
  <si>
    <t>TVM</t>
  </si>
  <si>
    <t>Kochi</t>
  </si>
  <si>
    <t xml:space="preserve">CCTV </t>
  </si>
  <si>
    <t>5MP DOME CAMERA</t>
  </si>
  <si>
    <t>4CH DVR WITH HARD DISK</t>
  </si>
  <si>
    <t>BNC CONNECTOR WITH DC PIN</t>
  </si>
  <si>
    <t>CCTV CABLE 3+1</t>
  </si>
  <si>
    <t>4 CHANNEL POWERSUPPLY</t>
  </si>
  <si>
    <t>BIOMETRIC ACCESS</t>
  </si>
  <si>
    <t>ZKTECO MINIAC FACE AND PALM</t>
  </si>
  <si>
    <t>F12 BIOMETRIC EXIT</t>
  </si>
  <si>
    <t>DUAL EMLOCK WITH ACCESSORIES</t>
  </si>
  <si>
    <t>U BRACKET</t>
  </si>
  <si>
    <t>L BRACKET</t>
  </si>
  <si>
    <t>WIRELESS ACCESS POINT</t>
  </si>
  <si>
    <t>EAP 225 1350MBPS CEILING MOUNT ACCESS POINT</t>
  </si>
  <si>
    <t>CAT 6, 4 PAIR CABLE, FOR BIOMETRIC DEVICE</t>
  </si>
  <si>
    <t>150mtr</t>
  </si>
  <si>
    <t>CAT 6, 1M PATCH CORD</t>
  </si>
  <si>
    <t>8 PORT POE SWITCH</t>
  </si>
  <si>
    <r>
      <rPr>
        <b/>
        <sz val="12"/>
        <color rgb="FFC00000"/>
        <rFont val="Calibri"/>
        <family val="2"/>
        <scheme val="minor"/>
      </rPr>
      <t>NKORR Technologies Pvt Ltd</t>
    </r>
    <r>
      <rPr>
        <b/>
        <sz val="12"/>
        <color theme="0"/>
        <rFont val="Calibri"/>
        <family val="2"/>
        <scheme val="minor"/>
      </rPr>
      <t xml:space="preserve">
</t>
    </r>
    <r>
      <rPr>
        <b/>
        <sz val="12"/>
        <color theme="1" tint="0.249977111117893"/>
        <rFont val="Calibri"/>
        <family val="2"/>
        <scheme val="minor"/>
      </rPr>
      <t>Assets : 2025-26</t>
    </r>
  </si>
  <si>
    <t>LAPTOP</t>
  </si>
  <si>
    <t>Lenovo Thinkpad P1 Gen 1 ( Model: S06T00 )</t>
  </si>
  <si>
    <t>R90V43E8</t>
  </si>
  <si>
    <t>Lenovo Thinkpad E14 ( Model: S1XJ00 )</t>
  </si>
  <si>
    <t>PG028MDY</t>
  </si>
  <si>
    <t>PF41F8DK</t>
  </si>
  <si>
    <t>Lenovo Thinkpad E14 Gen 4 i5 512GB</t>
  </si>
  <si>
    <t>PG045RZ1</t>
  </si>
  <si>
    <t>Model Name</t>
  </si>
  <si>
    <t>Serial Number</t>
  </si>
  <si>
    <t>Dell P2217</t>
  </si>
  <si>
    <t>CN-0GCVGF-QDC007BH-0YWB-A06</t>
  </si>
  <si>
    <t>CN-0PFR7D-74261-6BN-2CAB-A00</t>
  </si>
  <si>
    <t>Lenovo Thinkpad  X1 Extreme</t>
  </si>
  <si>
    <t>R9-0VB1QQ</t>
  </si>
  <si>
    <t>Lenovo Thinkpad E14 ( Model: S1M600 )</t>
  </si>
  <si>
    <t>PF23HGHT</t>
  </si>
  <si>
    <t>PG03Z3CW</t>
  </si>
  <si>
    <t>PG03Z3CY</t>
  </si>
  <si>
    <t>PG03LR3Y</t>
  </si>
  <si>
    <t>PG03M3F6</t>
  </si>
  <si>
    <t>PG03M3PE</t>
  </si>
  <si>
    <t>PG03M3H4</t>
  </si>
  <si>
    <t>PG03LPGM</t>
  </si>
  <si>
    <t>PG03LRFB</t>
  </si>
  <si>
    <t>PG03M3LC</t>
  </si>
  <si>
    <t>PG03M3RG</t>
  </si>
  <si>
    <t>PG03M3EJ</t>
  </si>
  <si>
    <t>PG03M3S5</t>
  </si>
  <si>
    <t>PG03Z3B5</t>
  </si>
  <si>
    <t>PG04GJL</t>
  </si>
  <si>
    <t>PG045GB4</t>
  </si>
  <si>
    <t>PG04JBPD</t>
  </si>
  <si>
    <t>PG04JGKV</t>
  </si>
  <si>
    <t>Apple Mac Mini Z16L00060</t>
  </si>
  <si>
    <t>SCWJJX4VH3Q</t>
  </si>
  <si>
    <t>Apple Mac Mini MRTR2HN</t>
  </si>
  <si>
    <t>SC07XN1HDJYVW</t>
  </si>
  <si>
    <t xml:space="preserve">Apple Ipad 7th </t>
  </si>
  <si>
    <t>SF9FZ6K87MF3M</t>
  </si>
  <si>
    <t>Serial No.</t>
  </si>
  <si>
    <t>CN-09N16K-QDC00-3B1-7RQB</t>
  </si>
  <si>
    <t>CN-0PFR7D-74261-6BN-3OUB-A00</t>
  </si>
  <si>
    <t>CN-0R5WD9-QDC00-41K-1JOL-A00</t>
  </si>
  <si>
    <t>CN-0R5WD9-QDC00-41K-1JLL-A00</t>
  </si>
  <si>
    <t>CN-09N16K-QDC00-44K-1ZHU-A07</t>
  </si>
  <si>
    <t>CN-0R5WD9-QDC00-41K-0RJL-A00</t>
  </si>
  <si>
    <t>CN-09N16K-QDC00-44K1V7V-A07</t>
  </si>
  <si>
    <t>CN-09N16K-QDC00-418-1OSL-A06</t>
  </si>
  <si>
    <t>CN-0R5WD9-QDC00-41K-1JVL-A00</t>
  </si>
  <si>
    <t>CN-0R5WD9-QDC00-41K-1K3L-A00</t>
  </si>
  <si>
    <t>CN-09N16K-QDC00-44K-1CCV-A07</t>
  </si>
  <si>
    <t>CN-01OPD8-WSL00-41C-A6HB-A00</t>
  </si>
  <si>
    <t xml:space="preserve">  Description</t>
  </si>
  <si>
    <t>Electricals Items</t>
  </si>
  <si>
    <t>Description</t>
  </si>
  <si>
    <t>Other Assets</t>
  </si>
  <si>
    <t>Refrigerator</t>
  </si>
  <si>
    <t>Microwave Oven</t>
  </si>
  <si>
    <t>Induction stove</t>
  </si>
  <si>
    <t>Printer</t>
  </si>
  <si>
    <t>Water purifier</t>
  </si>
  <si>
    <t>Exhaust motor (Wash room)</t>
  </si>
  <si>
    <t>Storage Rack</t>
  </si>
  <si>
    <t>Vacume Cleaner</t>
  </si>
  <si>
    <t>Chair</t>
  </si>
  <si>
    <t>CCTV + Biometric + Wireless + Other Assets</t>
  </si>
  <si>
    <t>EEI</t>
  </si>
  <si>
    <t>MBD</t>
  </si>
  <si>
    <t>Allrisk Total</t>
  </si>
  <si>
    <t>EEI Total</t>
  </si>
  <si>
    <t>All risk Total</t>
  </si>
  <si>
    <t>All Risk Portable Electronic Equipment Insurance (incluiding mechanical, electrical breakdown, Buglary and Theft)</t>
  </si>
  <si>
    <t>Total Sum Insured</t>
  </si>
  <si>
    <t>Plate Glass (Inluding Fire)</t>
  </si>
  <si>
    <t>Sookshma Udyam Suraksha (SFSP incl.EQ, STFI and Terrorism)</t>
  </si>
  <si>
    <t>Electronic Software Development Unit/s</t>
  </si>
  <si>
    <t>Lenovo Thinkpad E16 Gen 4 i5 512GB</t>
  </si>
  <si>
    <t>PF60PYKV</t>
  </si>
  <si>
    <t>PF607K11</t>
  </si>
  <si>
    <t>PF60PYGL</t>
  </si>
  <si>
    <t>Dell P2426H</t>
  </si>
  <si>
    <t>CH-0M3W9V-WSL00-61L-A58B-A00</t>
  </si>
  <si>
    <t>PF-60PY22</t>
  </si>
  <si>
    <t>CN-0M3W9V-WSL00-62Q-976B-A00</t>
  </si>
  <si>
    <t>CN-0M3W9V-WSL00-61L-A59B-A00</t>
  </si>
  <si>
    <t>CN-0M3W9V-WSL00-62Q-947B-A00</t>
  </si>
  <si>
    <t>BLUE STAR AC- 109804</t>
  </si>
  <si>
    <t>WORK STATIONS</t>
  </si>
  <si>
    <t>Glass Doors and Glass Partitions</t>
  </si>
  <si>
    <t>wiring and light (Cable, light , panel,switches,AC point , ups point)</t>
  </si>
  <si>
    <t>WIPRO make TRIM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</si>
</sst>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E0E0E"/>
      <name val="Roboto"/>
    </font>
    <font>
      <sz val="10"/>
      <color theme="1"/>
      <name val="Arial"/>
      <family val="2"/>
    </font>
    <font>
      <sz val="10"/>
      <color rgb="FF111111"/>
      <name val="Roboto-Medium"/>
    </font>
    <font>
      <b/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3CB08D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5" tint="0.39997558519241921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FFFFF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6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0" xfId="1" applyFill="1"/>
    <xf numFmtId="0" fontId="2" fillId="0" borderId="0" xfId="1" applyFont="1"/>
    <xf numFmtId="0" fontId="8" fillId="3" borderId="1" xfId="1" applyFont="1" applyFill="1" applyBorder="1" applyAlignment="1">
      <alignment horizontal="center"/>
    </xf>
    <xf numFmtId="0" fontId="10" fillId="4" borderId="5" xfId="2" applyFont="1" applyFill="1" applyBorder="1"/>
    <xf numFmtId="0" fontId="11" fillId="4" borderId="5" xfId="2" applyFont="1" applyFill="1" applyBorder="1" applyAlignment="1">
      <alignment horizontal="center"/>
    </xf>
    <xf numFmtId="0" fontId="9" fillId="0" borderId="0" xfId="2"/>
    <xf numFmtId="0" fontId="10" fillId="0" borderId="5" xfId="2" applyFont="1" applyBorder="1"/>
    <xf numFmtId="0" fontId="10" fillId="0" borderId="10" xfId="2" applyFont="1" applyBorder="1"/>
    <xf numFmtId="0" fontId="13" fillId="0" borderId="5" xfId="2" applyFont="1" applyBorder="1" applyAlignment="1">
      <alignment horizontal="center"/>
    </xf>
    <xf numFmtId="0" fontId="15" fillId="5" borderId="5" xfId="2" applyFont="1" applyFill="1" applyBorder="1" applyAlignment="1">
      <alignment horizontal="center"/>
    </xf>
    <xf numFmtId="0" fontId="13" fillId="5" borderId="5" xfId="2" applyFont="1" applyFill="1" applyBorder="1" applyAlignment="1">
      <alignment horizontal="center"/>
    </xf>
    <xf numFmtId="0" fontId="13" fillId="5" borderId="7" xfId="2" applyFont="1" applyFill="1" applyBorder="1" applyAlignment="1">
      <alignment horizontal="center"/>
    </xf>
    <xf numFmtId="0" fontId="15" fillId="5" borderId="7" xfId="2" applyFont="1" applyFill="1" applyBorder="1" applyAlignment="1">
      <alignment horizontal="center"/>
    </xf>
    <xf numFmtId="0" fontId="15" fillId="0" borderId="5" xfId="2" applyFont="1" applyBorder="1" applyAlignment="1">
      <alignment horizontal="center"/>
    </xf>
    <xf numFmtId="0" fontId="15" fillId="0" borderId="5" xfId="2" applyFont="1" applyBorder="1" applyAlignment="1">
      <alignment horizontal="center" wrapText="1"/>
    </xf>
    <xf numFmtId="0" fontId="15" fillId="0" borderId="7" xfId="2" applyFont="1" applyBorder="1" applyAlignment="1">
      <alignment horizontal="center"/>
    </xf>
    <xf numFmtId="0" fontId="13" fillId="5" borderId="0" xfId="2" applyFont="1" applyFill="1" applyAlignment="1">
      <alignment horizontal="center"/>
    </xf>
    <xf numFmtId="0" fontId="17" fillId="5" borderId="5" xfId="2" applyFont="1" applyFill="1" applyBorder="1" applyAlignment="1">
      <alignment horizontal="center"/>
    </xf>
    <xf numFmtId="0" fontId="11" fillId="7" borderId="6" xfId="2" applyFont="1" applyFill="1" applyBorder="1"/>
    <xf numFmtId="0" fontId="9" fillId="0" borderId="2" xfId="2" applyBorder="1"/>
    <xf numFmtId="0" fontId="18" fillId="0" borderId="2" xfId="2" applyFont="1" applyBorder="1"/>
    <xf numFmtId="0" fontId="10" fillId="0" borderId="12" xfId="2" applyFont="1" applyBorder="1"/>
    <xf numFmtId="0" fontId="18" fillId="0" borderId="0" xfId="2" applyFont="1"/>
    <xf numFmtId="0" fontId="20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2" fillId="0" borderId="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3" fillId="5" borderId="9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4" borderId="5" xfId="0" applyFont="1" applyFill="1" applyBorder="1"/>
    <xf numFmtId="0" fontId="15" fillId="0" borderId="6" xfId="0" applyFont="1" applyBorder="1" applyAlignment="1">
      <alignment wrapText="1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4" borderId="5" xfId="0" applyFont="1" applyFill="1" applyBorder="1" applyAlignment="1">
      <alignment horizontal="center"/>
    </xf>
    <xf numFmtId="0" fontId="15" fillId="0" borderId="7" xfId="0" applyFont="1" applyBorder="1" applyAlignment="1">
      <alignment wrapText="1"/>
    </xf>
    <xf numFmtId="0" fontId="17" fillId="4" borderId="6" xfId="0" applyFont="1" applyFill="1" applyBorder="1" applyAlignment="1">
      <alignment horizontal="center"/>
    </xf>
    <xf numFmtId="0" fontId="15" fillId="0" borderId="10" xfId="0" applyFont="1" applyBorder="1"/>
    <xf numFmtId="0" fontId="24" fillId="5" borderId="5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 wrapText="1"/>
    </xf>
    <xf numFmtId="0" fontId="10" fillId="0" borderId="5" xfId="2" applyFont="1" applyBorder="1" applyAlignment="1">
      <alignment horizontal="left"/>
    </xf>
    <xf numFmtId="0" fontId="9" fillId="0" borderId="0" xfId="2" applyAlignment="1">
      <alignment horizontal="center"/>
    </xf>
    <xf numFmtId="0" fontId="17" fillId="4" borderId="9" xfId="0" applyFont="1" applyFill="1" applyBorder="1"/>
    <xf numFmtId="0" fontId="15" fillId="5" borderId="5" xfId="0" applyFont="1" applyFill="1" applyBorder="1"/>
    <xf numFmtId="0" fontId="14" fillId="5" borderId="5" xfId="0" applyFont="1" applyFill="1" applyBorder="1"/>
    <xf numFmtId="4" fontId="15" fillId="0" borderId="5" xfId="0" applyNumberFormat="1" applyFont="1" applyBorder="1"/>
    <xf numFmtId="0" fontId="10" fillId="0" borderId="5" xfId="0" applyFont="1" applyBorder="1"/>
    <xf numFmtId="0" fontId="15" fillId="5" borderId="14" xfId="0" applyFont="1" applyFill="1" applyBorder="1"/>
    <xf numFmtId="0" fontId="15" fillId="10" borderId="5" xfId="0" applyFont="1" applyFill="1" applyBorder="1"/>
    <xf numFmtId="4" fontId="15" fillId="0" borderId="0" xfId="0" applyNumberFormat="1" applyFont="1"/>
    <xf numFmtId="0" fontId="16" fillId="5" borderId="5" xfId="0" applyFont="1" applyFill="1" applyBorder="1"/>
    <xf numFmtId="0" fontId="14" fillId="11" borderId="5" xfId="0" applyFont="1" applyFill="1" applyBorder="1"/>
    <xf numFmtId="0" fontId="17" fillId="6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wrapText="1"/>
    </xf>
    <xf numFmtId="0" fontId="15" fillId="0" borderId="5" xfId="0" applyFont="1" applyBorder="1" applyAlignment="1">
      <alignment horizontal="center"/>
    </xf>
    <xf numFmtId="0" fontId="15" fillId="0" borderId="0" xfId="0" applyFont="1"/>
    <xf numFmtId="0" fontId="15" fillId="5" borderId="0" xfId="0" applyFont="1" applyFill="1"/>
    <xf numFmtId="0" fontId="22" fillId="0" borderId="7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4" fillId="12" borderId="0" xfId="2" applyFont="1" applyFill="1" applyAlignment="1">
      <alignment horizontal="center"/>
    </xf>
    <xf numFmtId="0" fontId="17" fillId="0" borderId="5" xfId="0" applyFont="1" applyBorder="1"/>
    <xf numFmtId="0" fontId="27" fillId="0" borderId="0" xfId="0" applyFont="1"/>
    <xf numFmtId="0" fontId="17" fillId="5" borderId="8" xfId="0" applyFont="1" applyFill="1" applyBorder="1" applyAlignment="1">
      <alignment horizontal="center"/>
    </xf>
    <xf numFmtId="0" fontId="18" fillId="13" borderId="0" xfId="2" applyFont="1" applyFill="1"/>
    <xf numFmtId="0" fontId="22" fillId="0" borderId="0" xfId="0" applyFont="1" applyAlignment="1">
      <alignment horizontal="center"/>
    </xf>
    <xf numFmtId="0" fontId="28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0" fontId="15" fillId="13" borderId="0" xfId="0" applyFont="1" applyFill="1"/>
    <xf numFmtId="0" fontId="17" fillId="13" borderId="0" xfId="0" applyFont="1" applyFill="1"/>
    <xf numFmtId="3" fontId="17" fillId="13" borderId="0" xfId="0" applyNumberFormat="1" applyFont="1" applyFill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27" fillId="13" borderId="0" xfId="0" applyFont="1" applyFill="1" applyAlignment="1">
      <alignment horizontal="center"/>
    </xf>
    <xf numFmtId="3" fontId="27" fillId="13" borderId="0" xfId="0" applyNumberFormat="1" applyFont="1" applyFill="1" applyAlignment="1">
      <alignment horizontal="center"/>
    </xf>
    <xf numFmtId="0" fontId="17" fillId="4" borderId="10" xfId="0" applyFont="1" applyFill="1" applyBorder="1" applyAlignment="1">
      <alignment horizontal="center"/>
    </xf>
    <xf numFmtId="3" fontId="22" fillId="0" borderId="17" xfId="0" applyNumberFormat="1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1" fillId="7" borderId="2" xfId="2" applyFont="1" applyFill="1" applyBorder="1"/>
    <xf numFmtId="0" fontId="3" fillId="7" borderId="2" xfId="2" applyFont="1" applyFill="1" applyBorder="1"/>
    <xf numFmtId="0" fontId="0" fillId="0" borderId="2" xfId="0" applyBorder="1"/>
    <xf numFmtId="3" fontId="0" fillId="0" borderId="2" xfId="0" applyNumberFormat="1" applyBorder="1"/>
    <xf numFmtId="0" fontId="27" fillId="13" borderId="0" xfId="0" applyFont="1" applyFill="1"/>
    <xf numFmtId="3" fontId="27" fillId="13" borderId="0" xfId="0" applyNumberFormat="1" applyFont="1" applyFill="1"/>
    <xf numFmtId="0" fontId="17" fillId="4" borderId="0" xfId="0" applyFont="1" applyFill="1"/>
    <xf numFmtId="0" fontId="10" fillId="0" borderId="0" xfId="0" applyFont="1"/>
    <xf numFmtId="0" fontId="18" fillId="14" borderId="0" xfId="2" applyFont="1" applyFill="1"/>
    <xf numFmtId="0" fontId="11" fillId="4" borderId="10" xfId="2" applyFont="1" applyFill="1" applyBorder="1"/>
    <xf numFmtId="0" fontId="3" fillId="15" borderId="0" xfId="0" applyFont="1" applyFill="1" applyAlignment="1">
      <alignment horizontal="center"/>
    </xf>
    <xf numFmtId="0" fontId="18" fillId="13" borderId="2" xfId="2" applyFont="1" applyFill="1" applyBorder="1"/>
    <xf numFmtId="0" fontId="3" fillId="13" borderId="0" xfId="0" applyFont="1" applyFill="1" applyAlignment="1">
      <alignment horizontal="center"/>
    </xf>
    <xf numFmtId="0" fontId="3" fillId="13" borderId="5" xfId="2" applyFont="1" applyFill="1" applyBorder="1" applyAlignment="1">
      <alignment horizontal="center"/>
    </xf>
    <xf numFmtId="0" fontId="10" fillId="13" borderId="5" xfId="2" applyFont="1" applyFill="1" applyBorder="1"/>
    <xf numFmtId="0" fontId="10" fillId="13" borderId="10" xfId="2" applyFont="1" applyFill="1" applyBorder="1"/>
    <xf numFmtId="0" fontId="28" fillId="13" borderId="15" xfId="0" applyFont="1" applyFill="1" applyBorder="1" applyAlignment="1">
      <alignment horizontal="center"/>
    </xf>
    <xf numFmtId="0" fontId="27" fillId="13" borderId="19" xfId="0" applyFont="1" applyFill="1" applyBorder="1"/>
    <xf numFmtId="3" fontId="0" fillId="2" borderId="2" xfId="0" applyNumberFormat="1" applyFill="1" applyBorder="1"/>
    <xf numFmtId="0" fontId="0" fillId="16" borderId="0" xfId="0" applyFill="1" applyAlignment="1">
      <alignment wrapText="1"/>
    </xf>
    <xf numFmtId="0" fontId="0" fillId="0" borderId="0" xfId="0" applyAlignment="1">
      <alignment horizontal="center"/>
    </xf>
    <xf numFmtId="3" fontId="3" fillId="2" borderId="2" xfId="0" applyNumberFormat="1" applyFont="1" applyFill="1" applyBorder="1" applyAlignment="1">
      <alignment vertical="center"/>
    </xf>
    <xf numFmtId="0" fontId="9" fillId="13" borderId="0" xfId="2" applyFill="1"/>
    <xf numFmtId="0" fontId="18" fillId="13" borderId="0" xfId="2" applyFont="1" applyFill="1" applyAlignment="1">
      <alignment horizontal="center"/>
    </xf>
    <xf numFmtId="4" fontId="18" fillId="13" borderId="0" xfId="2" applyNumberFormat="1" applyFont="1" applyFill="1"/>
    <xf numFmtId="4" fontId="3" fillId="2" borderId="2" xfId="0" applyNumberFormat="1" applyFont="1" applyFill="1" applyBorder="1" applyAlignment="1">
      <alignment vertical="center"/>
    </xf>
    <xf numFmtId="3" fontId="0" fillId="0" borderId="0" xfId="0" applyNumberFormat="1"/>
    <xf numFmtId="0" fontId="18" fillId="0" borderId="0" xfId="2" applyFont="1" applyAlignment="1">
      <alignment horizontal="center"/>
    </xf>
    <xf numFmtId="0" fontId="21" fillId="8" borderId="10" xfId="0" applyFont="1" applyFill="1" applyBorder="1" applyAlignment="1">
      <alignment horizontal="center"/>
    </xf>
    <xf numFmtId="0" fontId="19" fillId="0" borderId="13" xfId="0" applyFont="1" applyBorder="1"/>
    <xf numFmtId="0" fontId="19" fillId="0" borderId="9" xfId="0" applyFont="1" applyBorder="1"/>
    <xf numFmtId="0" fontId="5" fillId="0" borderId="4" xfId="1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wrapText="1"/>
    </xf>
    <xf numFmtId="0" fontId="12" fillId="0" borderId="7" xfId="0" applyFont="1" applyBorder="1"/>
    <xf numFmtId="0" fontId="25" fillId="9" borderId="10" xfId="0" applyFont="1" applyFill="1" applyBorder="1" applyAlignment="1">
      <alignment horizontal="center"/>
    </xf>
    <xf numFmtId="0" fontId="12" fillId="0" borderId="13" xfId="0" applyFont="1" applyBorder="1"/>
    <xf numFmtId="0" fontId="12" fillId="0" borderId="9" xfId="0" applyFont="1" applyBorder="1"/>
    <xf numFmtId="0" fontId="11" fillId="4" borderId="10" xfId="2" applyFont="1" applyFill="1" applyBorder="1" applyAlignment="1">
      <alignment horizontal="center"/>
    </xf>
    <xf numFmtId="0" fontId="12" fillId="0" borderId="9" xfId="2" applyFont="1" applyBorder="1"/>
    <xf numFmtId="0" fontId="25" fillId="9" borderId="0" xfId="0" applyFont="1" applyFill="1" applyAlignment="1">
      <alignment horizontal="center"/>
    </xf>
    <xf numFmtId="0" fontId="0" fillId="0" borderId="0" xfId="0"/>
    <xf numFmtId="0" fontId="26" fillId="9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/>
    </xf>
    <xf numFmtId="0" fontId="14" fillId="5" borderId="6" xfId="0" applyFont="1" applyFill="1" applyBorder="1"/>
    <xf numFmtId="0" fontId="15" fillId="10" borderId="6" xfId="0" applyFont="1" applyFill="1" applyBorder="1"/>
    <xf numFmtId="0" fontId="10" fillId="0" borderId="0" xfId="2" applyFont="1" applyBorder="1"/>
    <xf numFmtId="0" fontId="15" fillId="0" borderId="0" xfId="0" applyFont="1" applyBorder="1"/>
    <xf numFmtId="0" fontId="9" fillId="0" borderId="0" xfId="2" applyBorder="1"/>
    <xf numFmtId="0" fontId="24" fillId="17" borderId="5" xfId="0" applyFont="1" applyFill="1" applyBorder="1" applyAlignment="1">
      <alignment horizontal="center"/>
    </xf>
    <xf numFmtId="0" fontId="17" fillId="17" borderId="5" xfId="0" applyFont="1" applyFill="1" applyBorder="1" applyAlignment="1">
      <alignment horizontal="center"/>
    </xf>
    <xf numFmtId="0" fontId="15" fillId="14" borderId="5" xfId="0" applyFont="1" applyFill="1" applyBorder="1"/>
    <xf numFmtId="0" fontId="14" fillId="17" borderId="2" xfId="0" applyFont="1" applyFill="1" applyBorder="1"/>
    <xf numFmtId="0" fontId="15" fillId="17" borderId="2" xfId="0" applyFont="1" applyFill="1" applyBorder="1"/>
    <xf numFmtId="0" fontId="0" fillId="14" borderId="2" xfId="0" applyFill="1" applyBorder="1"/>
    <xf numFmtId="0" fontId="15" fillId="0" borderId="20" xfId="0" applyFont="1" applyFill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383540</xdr:colOff>
      <xdr:row>1</xdr:row>
      <xdr:rowOff>40640</xdr:rowOff>
    </xdr:from>
    <xdr:ext cx="850899" cy="856066"/>
    <xdr:pic>
      <xdr:nvPicPr>
        <xdr:cNvPr id="5" name="Picture 4">
          <a:extLst>
            <a:ext uri="{FF2B5EF4-FFF2-40B4-BE49-F238E27FC236}">
              <a16:creationId xmlns:a16="http://schemas.microsoft.com/office/drawing/2014/main" id="{6263A356-3C26-4C79-AB95-7BD7BA62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540" y="154940"/>
          <a:ext cx="850899" cy="856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workbookViewId="0">
      <selection activeCell="K16" sqref="K16"/>
    </sheetView>
  </sheetViews>
  <sheetFormatPr defaultRowHeight="15"/>
  <cols>
    <col min="1" max="1" width="47.7109375" customWidth="1"/>
    <col min="2" max="2" width="17.85546875" customWidth="1"/>
    <col min="3" max="3" width="15.5703125" customWidth="1"/>
    <col min="4" max="4" width="13.7109375" customWidth="1"/>
    <col min="5" max="5" width="2.28515625" customWidth="1"/>
    <col min="6" max="6" width="10.140625" bestFit="1" customWidth="1"/>
  </cols>
  <sheetData>
    <row r="1" spans="1:12" ht="9" customHeight="1">
      <c r="E1" s="3"/>
    </row>
    <row r="2" spans="1:12" ht="80.45" customHeight="1">
      <c r="B2" s="138" t="s">
        <v>325</v>
      </c>
      <c r="C2" s="138"/>
      <c r="D2" s="138"/>
      <c r="E2" s="3"/>
    </row>
    <row r="3" spans="1:12" ht="52.9" customHeight="1">
      <c r="A3" s="1" t="s">
        <v>0</v>
      </c>
      <c r="B3" s="139" t="s">
        <v>266</v>
      </c>
      <c r="C3" s="139"/>
      <c r="D3" s="139"/>
      <c r="E3" s="4"/>
    </row>
    <row r="4" spans="1:12" ht="30" customHeight="1">
      <c r="A4" s="1" t="s">
        <v>13</v>
      </c>
      <c r="B4" s="139" t="s">
        <v>402</v>
      </c>
      <c r="C4" s="139"/>
      <c r="D4" s="139"/>
      <c r="E4" s="4"/>
    </row>
    <row r="5" spans="1:12">
      <c r="A5" s="1"/>
      <c r="B5" s="1"/>
      <c r="C5" s="1"/>
      <c r="D5" s="2"/>
    </row>
    <row r="6" spans="1:12" ht="15.75">
      <c r="A6" s="143" t="s">
        <v>11</v>
      </c>
      <c r="B6" s="143"/>
      <c r="C6" s="5" t="s">
        <v>1</v>
      </c>
      <c r="D6" s="5"/>
    </row>
    <row r="7" spans="1:12" ht="30">
      <c r="A7" s="5"/>
      <c r="B7" s="5"/>
      <c r="C7" s="38" t="s">
        <v>305</v>
      </c>
      <c r="D7" s="5" t="s">
        <v>306</v>
      </c>
      <c r="F7" s="126" t="s">
        <v>399</v>
      </c>
    </row>
    <row r="8" spans="1:12" ht="17.25" customHeight="1">
      <c r="A8" s="142" t="s">
        <v>401</v>
      </c>
      <c r="B8" s="142"/>
      <c r="C8" s="39">
        <f>SUM('Workstn and Glass TVM'!E38,'Workstn and Glass TVM'!E57,'Lights and Fitting TVM'!E58,'Other Assets Items TVM'!D24)</f>
        <v>2523803.4500000002</v>
      </c>
      <c r="D8" s="40">
        <f>SUM('Workstn and Glass Kochi'!E10,'Workstn and Glass Kochi'!E21,'Workstn and Glass Kochi'!E31,'Light and Fitting Kochi'!F15,'Other Assets Kochi'!E44)</f>
        <v>2142930</v>
      </c>
      <c r="F8" s="125">
        <f t="shared" ref="F8:F13" si="0">SUM(C8:D8)</f>
        <v>4666733.45</v>
      </c>
      <c r="L8" s="133"/>
    </row>
    <row r="9" spans="1:12" ht="17.25" customHeight="1">
      <c r="A9" s="140" t="s">
        <v>8</v>
      </c>
      <c r="B9" s="140"/>
      <c r="C9" s="39">
        <f>SUM('Workstn and Glass TVM'!F38,'Workstn and Glass TVM'!F57,'Lights and Fitting TVM'!F58,'Other Assets Items TVM'!E24)</f>
        <v>2523803.4500000002</v>
      </c>
      <c r="D9" s="40">
        <f>SUM('Workstn and Glass Kochi'!F10,'Workstn and Glass Kochi'!F21,'Workstn and Glass Kochi'!F31,'Light and Fitting Kochi'!G15,'Other Assets Kochi'!F44)</f>
        <v>2142930</v>
      </c>
      <c r="F9" s="125">
        <f t="shared" si="0"/>
        <v>4666733.45</v>
      </c>
    </row>
    <row r="10" spans="1:12" ht="17.25" customHeight="1">
      <c r="A10" s="140" t="s">
        <v>400</v>
      </c>
      <c r="B10" s="144"/>
      <c r="C10" s="39">
        <f>SUM('Workstn and Glass TVM'!E38,'Workstn and Glass TVM'!E57)</f>
        <v>1892080.45</v>
      </c>
      <c r="D10" s="40">
        <f>SUM('Workstn and Glass Kochi'!E31)</f>
        <v>473700</v>
      </c>
      <c r="F10" s="125">
        <f t="shared" si="0"/>
        <v>2365780.4500000002</v>
      </c>
    </row>
    <row r="11" spans="1:12" ht="17.25" customHeight="1">
      <c r="A11" s="140" t="s">
        <v>10</v>
      </c>
      <c r="B11" s="140"/>
      <c r="C11" s="39">
        <f>SUM('Lights and Fitting TVM'!G58,'Laptops and Monitor TVM'!J69,'Other Assets Items TVM'!F24)</f>
        <v>1590708.96</v>
      </c>
      <c r="D11" s="40">
        <f>SUM('Light and Fitting Kochi'!H15,'Laptops and Monitors kochi'!I35,'Other Assets Kochi'!G44)</f>
        <v>869065.96</v>
      </c>
      <c r="F11" s="125">
        <f t="shared" si="0"/>
        <v>2459774.92</v>
      </c>
    </row>
    <row r="12" spans="1:12" ht="33.6" customHeight="1">
      <c r="A12" s="140" t="s">
        <v>398</v>
      </c>
      <c r="B12" s="140"/>
      <c r="C12" s="128">
        <f>SUM('Laptops and Monitor TVM'!E76)</f>
        <v>5087116</v>
      </c>
      <c r="D12" s="128">
        <f>SUM('Laptops and Monitors kochi'!E32)</f>
        <v>2056196</v>
      </c>
      <c r="F12" s="125">
        <f t="shared" si="0"/>
        <v>7143312</v>
      </c>
    </row>
    <row r="13" spans="1:12" ht="17.25" customHeight="1">
      <c r="A13" s="141" t="s">
        <v>9</v>
      </c>
      <c r="B13" s="141"/>
      <c r="C13" s="132">
        <f>SUM('Other Assets Items TVM'!G24)</f>
        <v>99898</v>
      </c>
      <c r="D13" s="132">
        <f>SUM('Other Assets Kochi'!H44)</f>
        <v>727926</v>
      </c>
      <c r="F13" s="125">
        <f t="shared" si="0"/>
        <v>827824</v>
      </c>
    </row>
    <row r="14" spans="1:12">
      <c r="I14" s="127"/>
    </row>
    <row r="15" spans="1:12">
      <c r="D15" s="111" t="s">
        <v>293</v>
      </c>
      <c r="E15" s="111"/>
      <c r="F15" s="112">
        <f>SUM(F8:F13)</f>
        <v>22130158.270000003</v>
      </c>
    </row>
    <row r="16" spans="1:12">
      <c r="A16" t="s">
        <v>12</v>
      </c>
    </row>
  </sheetData>
  <mergeCells count="10">
    <mergeCell ref="B2:D2"/>
    <mergeCell ref="B4:D4"/>
    <mergeCell ref="A9:B9"/>
    <mergeCell ref="A12:B12"/>
    <mergeCell ref="A13:B13"/>
    <mergeCell ref="A11:B11"/>
    <mergeCell ref="B3:D3"/>
    <mergeCell ref="A8:B8"/>
    <mergeCell ref="A6:B6"/>
    <mergeCell ref="A10:B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2738-6BC3-421C-A51A-A7111FAA05D1}">
  <sheetPr>
    <outlinePr summaryBelow="0" summaryRight="0"/>
  </sheetPr>
  <dimension ref="A1:F33"/>
  <sheetViews>
    <sheetView workbookViewId="0">
      <selection activeCell="H25" sqref="H25"/>
    </sheetView>
  </sheetViews>
  <sheetFormatPr defaultColWidth="12.7109375" defaultRowHeight="15.75" customHeight="1"/>
  <cols>
    <col min="1" max="1" width="12.7109375" style="8"/>
    <col min="2" max="2" width="43.7109375" style="8" customWidth="1"/>
    <col min="3" max="5" width="12.7109375" style="8"/>
    <col min="6" max="7" width="7.7109375" style="8" customWidth="1"/>
    <col min="8" max="8" width="10.42578125" style="8" customWidth="1"/>
    <col min="9" max="9" width="30.7109375" style="8" customWidth="1"/>
    <col min="10" max="16384" width="12.7109375" style="8"/>
  </cols>
  <sheetData>
    <row r="1" spans="1:6" ht="15.75" customHeight="1">
      <c r="B1" s="83" t="s">
        <v>391</v>
      </c>
    </row>
    <row r="2" spans="1:6" ht="15.75" customHeight="1">
      <c r="A2" s="73" t="s">
        <v>267</v>
      </c>
      <c r="B2" s="42" t="s">
        <v>379</v>
      </c>
      <c r="C2" s="42" t="s">
        <v>15</v>
      </c>
      <c r="D2" s="42" t="s">
        <v>4</v>
      </c>
      <c r="E2" s="21" t="s">
        <v>5</v>
      </c>
      <c r="F2" s="21" t="s">
        <v>6</v>
      </c>
    </row>
    <row r="3" spans="1:6" ht="15">
      <c r="A3" s="29">
        <v>1</v>
      </c>
      <c r="B3" s="29" t="s">
        <v>268</v>
      </c>
      <c r="C3" s="29">
        <v>40</v>
      </c>
      <c r="D3" s="29" t="s">
        <v>269</v>
      </c>
      <c r="E3" s="22" t="str">
        <f t="shared" ref="E3:E4" si="0">D3</f>
        <v>1,98,800</v>
      </c>
      <c r="F3" s="22" t="str">
        <f t="shared" ref="F3:F4" si="1">D3</f>
        <v>1,98,800</v>
      </c>
    </row>
    <row r="4" spans="1:6" ht="15">
      <c r="A4" s="29">
        <v>2</v>
      </c>
      <c r="B4" s="29" t="s">
        <v>270</v>
      </c>
      <c r="C4" s="29">
        <v>8</v>
      </c>
      <c r="D4" s="29">
        <v>28880</v>
      </c>
      <c r="E4" s="22">
        <f t="shared" si="0"/>
        <v>28880</v>
      </c>
      <c r="F4" s="22">
        <f t="shared" si="1"/>
        <v>28880</v>
      </c>
    </row>
    <row r="5" spans="1:6" ht="15">
      <c r="A5" s="29">
        <v>3</v>
      </c>
      <c r="B5" s="29" t="s">
        <v>271</v>
      </c>
      <c r="C5" s="29">
        <v>1</v>
      </c>
      <c r="D5" s="29">
        <v>50000</v>
      </c>
      <c r="E5" s="22">
        <f t="shared" ref="E5:E9" si="2">D5</f>
        <v>50000</v>
      </c>
      <c r="F5" s="22">
        <f t="shared" ref="F5:F9" si="3">D5</f>
        <v>50000</v>
      </c>
    </row>
    <row r="6" spans="1:6" ht="15">
      <c r="A6" s="29">
        <v>4</v>
      </c>
      <c r="B6" s="29" t="s">
        <v>273</v>
      </c>
      <c r="C6" s="29">
        <v>1</v>
      </c>
      <c r="D6" s="29">
        <v>45000</v>
      </c>
      <c r="E6" s="22">
        <f t="shared" si="2"/>
        <v>45000</v>
      </c>
      <c r="F6" s="22">
        <f t="shared" si="3"/>
        <v>45000</v>
      </c>
    </row>
    <row r="7" spans="1:6" ht="15">
      <c r="A7" s="29">
        <v>5</v>
      </c>
      <c r="B7" s="29" t="s">
        <v>274</v>
      </c>
      <c r="C7" s="29">
        <v>3</v>
      </c>
      <c r="D7" s="29">
        <v>35000</v>
      </c>
      <c r="E7" s="22">
        <f t="shared" si="2"/>
        <v>35000</v>
      </c>
      <c r="F7" s="22">
        <f t="shared" si="3"/>
        <v>35000</v>
      </c>
    </row>
    <row r="8" spans="1:6" ht="15">
      <c r="A8" s="29">
        <v>6</v>
      </c>
      <c r="B8" s="29" t="s">
        <v>275</v>
      </c>
      <c r="C8" s="29">
        <v>3</v>
      </c>
      <c r="D8" s="29">
        <v>26000</v>
      </c>
      <c r="E8" s="22">
        <f t="shared" si="2"/>
        <v>26000</v>
      </c>
      <c r="F8" s="22">
        <f t="shared" si="3"/>
        <v>26000</v>
      </c>
    </row>
    <row r="9" spans="1:6" ht="15">
      <c r="A9" s="29">
        <v>7</v>
      </c>
      <c r="B9" s="29" t="s">
        <v>276</v>
      </c>
      <c r="C9" s="29">
        <v>1</v>
      </c>
      <c r="D9" s="29">
        <v>75800</v>
      </c>
      <c r="E9" s="22">
        <f t="shared" si="2"/>
        <v>75800</v>
      </c>
      <c r="F9" s="22">
        <f t="shared" si="3"/>
        <v>75800</v>
      </c>
    </row>
    <row r="10" spans="1:6" ht="12.75">
      <c r="A10" s="26"/>
      <c r="B10" s="27"/>
      <c r="C10" s="27"/>
      <c r="D10" s="28" t="s">
        <v>293</v>
      </c>
      <c r="E10" s="23">
        <f>SUM(E3:E9)</f>
        <v>260680</v>
      </c>
      <c r="F10" s="23">
        <f>SUM(F3:F9)</f>
        <v>260680</v>
      </c>
    </row>
    <row r="11" spans="1:6" ht="12.75">
      <c r="A11" s="26"/>
      <c r="B11" s="27"/>
      <c r="C11" s="27"/>
      <c r="D11" s="27"/>
      <c r="E11" s="22"/>
      <c r="F11" s="22"/>
    </row>
    <row r="12" spans="1:6">
      <c r="A12" s="135" t="s">
        <v>277</v>
      </c>
      <c r="B12" s="136"/>
      <c r="C12" s="136"/>
      <c r="D12" s="137"/>
      <c r="E12" s="22"/>
      <c r="F12" s="22"/>
    </row>
    <row r="13" spans="1:6" ht="12.75">
      <c r="A13" s="73" t="s">
        <v>267</v>
      </c>
      <c r="B13" s="42" t="s">
        <v>379</v>
      </c>
      <c r="C13" s="42" t="s">
        <v>15</v>
      </c>
      <c r="D13" s="42" t="s">
        <v>4</v>
      </c>
      <c r="E13" s="22"/>
      <c r="F13" s="22"/>
    </row>
    <row r="14" spans="1:6" ht="15">
      <c r="A14" s="29">
        <v>1</v>
      </c>
      <c r="B14" s="29" t="s">
        <v>278</v>
      </c>
      <c r="C14" s="29">
        <v>28</v>
      </c>
      <c r="D14" s="29">
        <v>198800</v>
      </c>
      <c r="E14" s="22">
        <f t="shared" ref="E14:E18" si="4">D14</f>
        <v>198800</v>
      </c>
      <c r="F14" s="22">
        <f t="shared" ref="F14:F18" si="5">D14</f>
        <v>198800</v>
      </c>
    </row>
    <row r="15" spans="1:6" ht="15">
      <c r="A15" s="29">
        <v>2</v>
      </c>
      <c r="B15" s="29" t="s">
        <v>279</v>
      </c>
      <c r="C15" s="29">
        <v>2</v>
      </c>
      <c r="D15" s="29">
        <v>26350</v>
      </c>
      <c r="E15" s="22">
        <f t="shared" si="4"/>
        <v>26350</v>
      </c>
      <c r="F15" s="22">
        <f t="shared" si="5"/>
        <v>26350</v>
      </c>
    </row>
    <row r="16" spans="1:6" ht="15">
      <c r="A16" s="29">
        <v>3</v>
      </c>
      <c r="B16" s="29" t="s">
        <v>280</v>
      </c>
      <c r="C16" s="29">
        <v>1</v>
      </c>
      <c r="D16" s="29">
        <v>7980</v>
      </c>
      <c r="E16" s="22">
        <f t="shared" si="4"/>
        <v>7980</v>
      </c>
      <c r="F16" s="22">
        <f t="shared" si="5"/>
        <v>7980</v>
      </c>
    </row>
    <row r="17" spans="1:6" ht="15">
      <c r="A17" s="29"/>
      <c r="B17" s="29" t="s">
        <v>281</v>
      </c>
      <c r="C17" s="29">
        <v>1</v>
      </c>
      <c r="D17" s="29">
        <v>21989</v>
      </c>
      <c r="E17" s="22">
        <f t="shared" ref="E17" si="6">D17</f>
        <v>21989</v>
      </c>
      <c r="F17" s="22">
        <f t="shared" ref="F17" si="7">D17</f>
        <v>21989</v>
      </c>
    </row>
    <row r="18" spans="1:6" ht="15">
      <c r="A18" s="29">
        <v>4</v>
      </c>
      <c r="B18" s="29" t="s">
        <v>279</v>
      </c>
      <c r="C18" s="29">
        <v>1</v>
      </c>
      <c r="D18" s="29">
        <v>5000</v>
      </c>
      <c r="E18" s="22">
        <f t="shared" si="4"/>
        <v>5000</v>
      </c>
      <c r="F18" s="22">
        <f t="shared" si="5"/>
        <v>5000</v>
      </c>
    </row>
    <row r="19" spans="1:6" ht="12.75">
      <c r="A19" s="26"/>
      <c r="B19" s="26"/>
      <c r="C19" s="26"/>
      <c r="D19" s="28" t="s">
        <v>293</v>
      </c>
      <c r="E19" s="23">
        <f>SUM(E14:E18)</f>
        <v>260119</v>
      </c>
      <c r="F19" s="23">
        <f>SUM(F14:F18)</f>
        <v>260119</v>
      </c>
    </row>
    <row r="20" spans="1:6" ht="12.75">
      <c r="A20" s="26"/>
      <c r="B20" s="26"/>
      <c r="C20" s="26"/>
      <c r="D20" s="28"/>
      <c r="E20" s="23"/>
      <c r="F20" s="23"/>
    </row>
    <row r="21" spans="1:6" ht="12.75">
      <c r="A21" s="119"/>
      <c r="B21" s="119" t="s">
        <v>293</v>
      </c>
      <c r="C21" s="119"/>
      <c r="D21" s="117"/>
      <c r="E21" s="118">
        <f>SUM(E10,E19)</f>
        <v>520799</v>
      </c>
      <c r="F21" s="118">
        <f>SUM(F10,F19)</f>
        <v>520799</v>
      </c>
    </row>
    <row r="22" spans="1:6" ht="12.75">
      <c r="A22" s="26"/>
      <c r="B22" s="26"/>
      <c r="C22" s="26"/>
      <c r="D22" s="26"/>
      <c r="E22" s="22"/>
      <c r="F22" s="22"/>
    </row>
    <row r="23" spans="1:6">
      <c r="A23" s="135" t="s">
        <v>282</v>
      </c>
      <c r="B23" s="136"/>
      <c r="C23" s="136"/>
      <c r="D23" s="137"/>
      <c r="E23" s="22"/>
      <c r="F23" s="22"/>
    </row>
    <row r="24" spans="1:6" ht="12.75">
      <c r="A24" s="73" t="s">
        <v>267</v>
      </c>
      <c r="B24" s="42" t="s">
        <v>95</v>
      </c>
      <c r="C24" s="42" t="s">
        <v>15</v>
      </c>
      <c r="D24" s="42" t="s">
        <v>4</v>
      </c>
      <c r="E24" s="22"/>
      <c r="F24" s="22"/>
    </row>
    <row r="25" spans="1:6" ht="15">
      <c r="A25" s="76">
        <v>1</v>
      </c>
      <c r="B25" s="77" t="s">
        <v>283</v>
      </c>
      <c r="C25" s="77" t="s">
        <v>284</v>
      </c>
      <c r="D25" s="77">
        <v>133600</v>
      </c>
      <c r="E25" s="22">
        <f t="shared" ref="E25:E29" si="8">D25</f>
        <v>133600</v>
      </c>
      <c r="F25" s="22">
        <f t="shared" ref="F25:F29" si="9">D25</f>
        <v>133600</v>
      </c>
    </row>
    <row r="26" spans="1:6" ht="15">
      <c r="A26" s="76">
        <v>2</v>
      </c>
      <c r="B26" s="77" t="s">
        <v>285</v>
      </c>
      <c r="C26" s="77">
        <v>3</v>
      </c>
      <c r="D26" s="77">
        <v>79500</v>
      </c>
      <c r="E26" s="22">
        <f t="shared" si="8"/>
        <v>79500</v>
      </c>
      <c r="F26" s="22">
        <f t="shared" si="9"/>
        <v>79500</v>
      </c>
    </row>
    <row r="27" spans="1:6" ht="15">
      <c r="A27" s="76">
        <v>3</v>
      </c>
      <c r="B27" s="77" t="s">
        <v>286</v>
      </c>
      <c r="C27" s="77">
        <v>1</v>
      </c>
      <c r="D27" s="77">
        <v>52000</v>
      </c>
      <c r="E27" s="22">
        <f t="shared" si="8"/>
        <v>52000</v>
      </c>
      <c r="F27" s="22">
        <f t="shared" si="9"/>
        <v>52000</v>
      </c>
    </row>
    <row r="28" spans="1:6" ht="15">
      <c r="A28" s="76">
        <v>4</v>
      </c>
      <c r="B28" s="77" t="s">
        <v>287</v>
      </c>
      <c r="C28" s="77">
        <v>6</v>
      </c>
      <c r="D28" s="77">
        <v>60600</v>
      </c>
      <c r="E28" s="22">
        <f t="shared" si="8"/>
        <v>60600</v>
      </c>
      <c r="F28" s="22">
        <f t="shared" si="9"/>
        <v>60600</v>
      </c>
    </row>
    <row r="29" spans="1:6" ht="15">
      <c r="A29" s="76">
        <v>5</v>
      </c>
      <c r="B29" s="77" t="s">
        <v>288</v>
      </c>
      <c r="C29" s="77">
        <v>8</v>
      </c>
      <c r="D29" s="77">
        <v>148000</v>
      </c>
      <c r="E29" s="22">
        <f t="shared" si="8"/>
        <v>148000</v>
      </c>
      <c r="F29" s="22">
        <f t="shared" si="9"/>
        <v>148000</v>
      </c>
    </row>
    <row r="30" spans="1:6" ht="12.75">
      <c r="A30" s="9"/>
      <c r="B30" s="9"/>
      <c r="C30" s="9"/>
      <c r="D30" s="10"/>
      <c r="E30" s="22"/>
      <c r="F30" s="22"/>
    </row>
    <row r="31" spans="1:6" ht="12.75">
      <c r="A31" s="9"/>
      <c r="B31" s="120" t="s">
        <v>293</v>
      </c>
      <c r="C31" s="121"/>
      <c r="D31" s="122"/>
      <c r="E31" s="118">
        <f>SUM(E25:E30)</f>
        <v>473700</v>
      </c>
      <c r="F31" s="118">
        <f>SUM(F25:F30)</f>
        <v>473700</v>
      </c>
    </row>
    <row r="33" spans="3:5" ht="15.75" customHeight="1">
      <c r="C33" s="134"/>
      <c r="D33" s="134"/>
      <c r="E33" s="25"/>
    </row>
  </sheetData>
  <mergeCells count="3">
    <mergeCell ref="C33:D33"/>
    <mergeCell ref="A12:D12"/>
    <mergeCell ref="A23:D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7"/>
  <sheetViews>
    <sheetView topLeftCell="A28" workbookViewId="0">
      <selection activeCell="D59" sqref="D59"/>
    </sheetView>
  </sheetViews>
  <sheetFormatPr defaultColWidth="12.7109375" defaultRowHeight="15.75" customHeight="1"/>
  <cols>
    <col min="1" max="1" width="12.7109375" style="8"/>
    <col min="2" max="2" width="43.7109375" style="8" customWidth="1"/>
    <col min="3" max="3" width="9.42578125" style="8" customWidth="1"/>
    <col min="4" max="4" width="11.28515625" style="8" customWidth="1"/>
    <col min="5" max="5" width="11.7109375" style="8" customWidth="1"/>
    <col min="6" max="6" width="12.85546875" style="8" customWidth="1"/>
    <col min="7" max="7" width="7.7109375" style="8" customWidth="1"/>
    <col min="8" max="8" width="10.42578125" style="8" customWidth="1"/>
    <col min="9" max="9" width="30.7109375" style="8" customWidth="1"/>
    <col min="10" max="16384" width="12.7109375" style="8"/>
  </cols>
  <sheetData>
    <row r="1" spans="1:6" ht="15.75" customHeight="1">
      <c r="A1" s="6"/>
      <c r="B1" s="42" t="s">
        <v>14</v>
      </c>
      <c r="C1" s="43" t="s">
        <v>15</v>
      </c>
      <c r="D1" s="43" t="s">
        <v>2</v>
      </c>
      <c r="E1" s="21" t="s">
        <v>5</v>
      </c>
      <c r="F1" s="21" t="s">
        <v>6</v>
      </c>
    </row>
    <row r="2" spans="1:6" ht="26.25" customHeight="1">
      <c r="A2" s="9">
        <v>1</v>
      </c>
      <c r="B2" s="145" t="s">
        <v>17</v>
      </c>
      <c r="C2" s="45">
        <v>23</v>
      </c>
      <c r="D2" s="45">
        <v>187335</v>
      </c>
      <c r="E2" s="22">
        <f>D2</f>
        <v>187335</v>
      </c>
      <c r="F2" s="22">
        <f>D2</f>
        <v>187335</v>
      </c>
    </row>
    <row r="3" spans="1:6" ht="18.75" customHeight="1">
      <c r="A3" s="9"/>
      <c r="B3" s="146"/>
      <c r="C3" s="45"/>
      <c r="D3" s="45"/>
      <c r="E3" s="22"/>
      <c r="F3" s="22"/>
    </row>
    <row r="4" spans="1:6" ht="12.75">
      <c r="A4" s="9">
        <v>2</v>
      </c>
      <c r="B4" s="46" t="s">
        <v>19</v>
      </c>
      <c r="C4" s="45"/>
      <c r="D4" s="45"/>
      <c r="E4" s="22"/>
      <c r="F4" s="22"/>
    </row>
    <row r="5" spans="1:6" ht="12.75">
      <c r="A5" s="9"/>
      <c r="B5" s="47" t="s">
        <v>20</v>
      </c>
      <c r="C5" s="45">
        <v>3</v>
      </c>
      <c r="D5" s="45">
        <v>34350</v>
      </c>
      <c r="E5" s="22">
        <f t="shared" ref="E5:E6" si="0">D5</f>
        <v>34350</v>
      </c>
      <c r="F5" s="22">
        <f t="shared" ref="F5:F6" si="1">D5</f>
        <v>34350</v>
      </c>
    </row>
    <row r="6" spans="1:6" ht="12.75">
      <c r="A6" s="9">
        <v>3</v>
      </c>
      <c r="B6" s="45" t="s">
        <v>22</v>
      </c>
      <c r="C6" s="45">
        <v>2</v>
      </c>
      <c r="D6" s="45">
        <v>27610</v>
      </c>
      <c r="E6" s="22">
        <f t="shared" si="0"/>
        <v>27610</v>
      </c>
      <c r="F6" s="22">
        <f t="shared" si="1"/>
        <v>27610</v>
      </c>
    </row>
    <row r="7" spans="1:6" ht="12.75">
      <c r="A7" s="9">
        <v>4</v>
      </c>
      <c r="B7" s="46" t="s">
        <v>24</v>
      </c>
      <c r="C7" s="45"/>
      <c r="D7" s="45"/>
      <c r="E7" s="22"/>
      <c r="F7" s="22"/>
    </row>
    <row r="8" spans="1:6" ht="12.75">
      <c r="A8" s="9"/>
      <c r="B8" s="48" t="s">
        <v>26</v>
      </c>
      <c r="C8" s="45"/>
      <c r="D8" s="45"/>
      <c r="E8" s="22"/>
      <c r="F8" s="22"/>
    </row>
    <row r="9" spans="1:6" ht="12.75">
      <c r="A9" s="9"/>
      <c r="B9" s="47" t="s">
        <v>28</v>
      </c>
      <c r="C9" s="45">
        <v>1</v>
      </c>
      <c r="D9" s="45">
        <v>27260</v>
      </c>
      <c r="E9" s="22">
        <f>D9</f>
        <v>27260</v>
      </c>
      <c r="F9" s="22">
        <f>D9</f>
        <v>27260</v>
      </c>
    </row>
    <row r="10" spans="1:6" ht="12.75">
      <c r="A10" s="9">
        <v>5</v>
      </c>
      <c r="B10" s="46" t="s">
        <v>30</v>
      </c>
      <c r="C10" s="45"/>
      <c r="D10" s="45"/>
      <c r="E10" s="22"/>
      <c r="F10" s="22"/>
    </row>
    <row r="11" spans="1:6" ht="12.75">
      <c r="A11" s="9"/>
      <c r="B11" s="48" t="s">
        <v>32</v>
      </c>
      <c r="C11" s="45"/>
      <c r="D11" s="45"/>
      <c r="E11" s="22"/>
      <c r="F11" s="22"/>
    </row>
    <row r="12" spans="1:6" ht="12.75">
      <c r="A12" s="9"/>
      <c r="B12" s="48"/>
      <c r="C12" s="45">
        <v>1</v>
      </c>
      <c r="D12" s="45">
        <v>27375</v>
      </c>
      <c r="E12" s="22">
        <f>D12</f>
        <v>27375</v>
      </c>
      <c r="F12" s="22">
        <f>D12</f>
        <v>27375</v>
      </c>
    </row>
    <row r="13" spans="1:6" ht="12.75">
      <c r="A13" s="10">
        <v>6</v>
      </c>
      <c r="B13" s="46" t="s">
        <v>35</v>
      </c>
      <c r="C13" s="49"/>
      <c r="D13" s="45"/>
      <c r="E13" s="22"/>
      <c r="F13" s="22"/>
    </row>
    <row r="14" spans="1:6" ht="12.75">
      <c r="A14" s="10"/>
      <c r="B14" s="47" t="s">
        <v>37</v>
      </c>
      <c r="C14" s="49">
        <v>1</v>
      </c>
      <c r="D14" s="45">
        <v>76440</v>
      </c>
      <c r="E14" s="22">
        <f>D14</f>
        <v>76440</v>
      </c>
      <c r="F14" s="22">
        <f>D14</f>
        <v>76440</v>
      </c>
    </row>
    <row r="15" spans="1:6" ht="12.75">
      <c r="A15" s="9"/>
      <c r="B15" s="46"/>
      <c r="C15" s="45"/>
      <c r="D15" s="45"/>
      <c r="E15" s="22"/>
      <c r="F15" s="22"/>
    </row>
    <row r="16" spans="1:6" ht="12.75">
      <c r="A16" s="10">
        <v>7</v>
      </c>
      <c r="B16" s="46" t="s">
        <v>39</v>
      </c>
      <c r="C16" s="49"/>
      <c r="D16" s="45"/>
      <c r="E16" s="22"/>
      <c r="F16" s="22"/>
    </row>
    <row r="17" spans="1:6" ht="12.75">
      <c r="A17" s="10"/>
      <c r="B17" s="47" t="s">
        <v>37</v>
      </c>
      <c r="C17" s="49">
        <v>1</v>
      </c>
      <c r="D17" s="45">
        <v>14065</v>
      </c>
      <c r="E17" s="22">
        <f>D17</f>
        <v>14065</v>
      </c>
      <c r="F17" s="22">
        <f>D17</f>
        <v>14065</v>
      </c>
    </row>
    <row r="18" spans="1:6" ht="12.75">
      <c r="A18" s="9"/>
      <c r="B18" s="48"/>
      <c r="C18" s="45"/>
      <c r="D18" s="45"/>
      <c r="E18" s="22"/>
      <c r="F18" s="22"/>
    </row>
    <row r="19" spans="1:6" ht="12.75">
      <c r="A19" s="10">
        <v>8</v>
      </c>
      <c r="B19" s="46" t="s">
        <v>40</v>
      </c>
      <c r="C19" s="49">
        <v>1</v>
      </c>
      <c r="D19" s="45"/>
      <c r="E19" s="22"/>
      <c r="F19" s="22"/>
    </row>
    <row r="20" spans="1:6" ht="12.75">
      <c r="A20" s="10"/>
      <c r="B20" s="47" t="s">
        <v>41</v>
      </c>
      <c r="C20" s="49"/>
      <c r="D20" s="45">
        <v>15465</v>
      </c>
      <c r="E20" s="22">
        <f>D20</f>
        <v>15465</v>
      </c>
      <c r="F20" s="22">
        <f>D20</f>
        <v>15465</v>
      </c>
    </row>
    <row r="21" spans="1:6" ht="12.75">
      <c r="A21" s="9"/>
      <c r="B21" s="48"/>
      <c r="C21" s="45"/>
      <c r="D21" s="45"/>
      <c r="E21" s="22"/>
      <c r="F21" s="22"/>
    </row>
    <row r="22" spans="1:6" ht="12.75">
      <c r="A22" s="10">
        <v>9</v>
      </c>
      <c r="B22" s="46" t="s">
        <v>42</v>
      </c>
      <c r="C22" s="49"/>
      <c r="D22" s="45"/>
      <c r="E22" s="22"/>
      <c r="F22" s="22"/>
    </row>
    <row r="23" spans="1:6" ht="12.75">
      <c r="A23" s="10"/>
      <c r="B23" s="47" t="s">
        <v>43</v>
      </c>
      <c r="C23" s="49">
        <v>1</v>
      </c>
      <c r="D23" s="45">
        <v>33770</v>
      </c>
      <c r="E23" s="22">
        <f>D23</f>
        <v>33770</v>
      </c>
      <c r="F23" s="22">
        <f>D23</f>
        <v>33770</v>
      </c>
    </row>
    <row r="24" spans="1:6" ht="12.75">
      <c r="A24" s="9"/>
      <c r="B24" s="46"/>
      <c r="C24" s="45"/>
      <c r="D24" s="45"/>
      <c r="E24" s="22"/>
      <c r="F24" s="22"/>
    </row>
    <row r="25" spans="1:6" ht="12.75">
      <c r="A25" s="10">
        <v>10</v>
      </c>
      <c r="B25" s="46" t="s">
        <v>44</v>
      </c>
      <c r="C25" s="49"/>
      <c r="D25" s="45"/>
      <c r="E25" s="22"/>
      <c r="F25" s="22"/>
    </row>
    <row r="26" spans="1:6" ht="12.75">
      <c r="A26" s="10"/>
      <c r="B26" s="47" t="s">
        <v>43</v>
      </c>
      <c r="C26" s="49">
        <v>1</v>
      </c>
      <c r="D26" s="45">
        <v>23600</v>
      </c>
      <c r="E26" s="22">
        <f>D26</f>
        <v>23600</v>
      </c>
      <c r="F26" s="22">
        <f>D26</f>
        <v>23600</v>
      </c>
    </row>
    <row r="27" spans="1:6" ht="12.75">
      <c r="A27" s="9"/>
      <c r="B27" s="47"/>
      <c r="C27" s="45"/>
      <c r="D27" s="45"/>
      <c r="E27" s="22"/>
      <c r="F27" s="22"/>
    </row>
    <row r="28" spans="1:6" ht="12.75">
      <c r="A28" s="9"/>
      <c r="B28" s="45"/>
      <c r="C28" s="45"/>
      <c r="D28" s="45"/>
      <c r="E28" s="22"/>
      <c r="F28" s="22"/>
    </row>
    <row r="29" spans="1:6" ht="12.75" customHeight="1">
      <c r="A29" s="9">
        <v>11</v>
      </c>
      <c r="B29" s="145" t="s">
        <v>17</v>
      </c>
      <c r="C29" s="45"/>
      <c r="D29" s="45"/>
      <c r="E29" s="22"/>
      <c r="F29" s="22"/>
    </row>
    <row r="30" spans="1:6" ht="12.75">
      <c r="A30" s="9"/>
      <c r="B30" s="146"/>
      <c r="C30" s="45">
        <v>38</v>
      </c>
      <c r="D30" s="45">
        <v>320720</v>
      </c>
      <c r="E30" s="22">
        <f>D30</f>
        <v>320720</v>
      </c>
      <c r="F30" s="22">
        <f>D30</f>
        <v>320720</v>
      </c>
    </row>
    <row r="31" spans="1:6" ht="12.75">
      <c r="A31" s="9"/>
      <c r="B31" s="45"/>
      <c r="C31" s="45"/>
      <c r="D31" s="45"/>
      <c r="E31" s="22"/>
      <c r="F31" s="22"/>
    </row>
    <row r="32" spans="1:6" ht="12.75">
      <c r="A32" s="9">
        <v>12</v>
      </c>
      <c r="B32" s="45" t="s">
        <v>45</v>
      </c>
      <c r="C32" s="45">
        <v>1</v>
      </c>
      <c r="D32" s="45">
        <v>27805</v>
      </c>
      <c r="E32" s="22">
        <f t="shared" ref="E32:E35" si="2">D32</f>
        <v>27805</v>
      </c>
      <c r="F32" s="22">
        <f t="shared" ref="F32:F35" si="3">D32</f>
        <v>27805</v>
      </c>
    </row>
    <row r="33" spans="1:6" ht="12.75">
      <c r="A33" s="9">
        <v>13</v>
      </c>
      <c r="B33" s="45" t="s">
        <v>46</v>
      </c>
      <c r="C33" s="45">
        <v>1</v>
      </c>
      <c r="D33" s="45">
        <v>9510</v>
      </c>
      <c r="E33" s="22">
        <f t="shared" si="2"/>
        <v>9510</v>
      </c>
      <c r="F33" s="22">
        <f t="shared" si="3"/>
        <v>9510</v>
      </c>
    </row>
    <row r="34" spans="1:6" ht="12.75">
      <c r="A34" s="9">
        <v>14</v>
      </c>
      <c r="B34" s="45" t="s">
        <v>47</v>
      </c>
      <c r="C34" s="45">
        <v>1</v>
      </c>
      <c r="D34" s="45">
        <v>108570</v>
      </c>
      <c r="E34" s="22">
        <f t="shared" si="2"/>
        <v>108570</v>
      </c>
      <c r="F34" s="22">
        <f t="shared" si="3"/>
        <v>108570</v>
      </c>
    </row>
    <row r="35" spans="1:6" ht="12.75">
      <c r="A35" s="9">
        <v>15</v>
      </c>
      <c r="B35" s="9" t="s">
        <v>414</v>
      </c>
      <c r="C35" s="9">
        <v>5</v>
      </c>
      <c r="D35" s="10">
        <v>53965</v>
      </c>
      <c r="E35" s="22">
        <f t="shared" si="2"/>
        <v>53965</v>
      </c>
      <c r="F35" s="22">
        <f t="shared" si="3"/>
        <v>53965</v>
      </c>
    </row>
    <row r="36" spans="1:6" ht="12.75">
      <c r="A36" s="9"/>
      <c r="B36" s="9"/>
      <c r="C36" s="9"/>
      <c r="D36" s="10"/>
      <c r="E36" s="22"/>
      <c r="F36" s="22"/>
    </row>
    <row r="37" spans="1:6" ht="12.75">
      <c r="A37" s="9"/>
      <c r="B37" s="9"/>
      <c r="C37" s="9"/>
      <c r="D37" s="10"/>
      <c r="E37" s="22"/>
      <c r="F37" s="22"/>
    </row>
    <row r="38" spans="1:6" ht="12.75">
      <c r="A38" s="9"/>
      <c r="B38" s="9"/>
      <c r="C38" s="9"/>
      <c r="D38" s="10"/>
      <c r="E38" s="118">
        <f>SUM(E2:E37)</f>
        <v>987840</v>
      </c>
      <c r="F38" s="118">
        <f>SUM(F2:F37)</f>
        <v>987840</v>
      </c>
    </row>
    <row r="42" spans="1:6" ht="15.75" customHeight="1">
      <c r="A42" s="50"/>
      <c r="B42" s="42" t="s">
        <v>16</v>
      </c>
      <c r="C42" s="43" t="s">
        <v>15</v>
      </c>
      <c r="D42" s="43" t="s">
        <v>2</v>
      </c>
      <c r="E42" s="21" t="s">
        <v>5</v>
      </c>
      <c r="F42" s="21" t="s">
        <v>6</v>
      </c>
    </row>
    <row r="43" spans="1:6" ht="15.75" customHeight="1">
      <c r="A43" s="45"/>
      <c r="B43" s="45"/>
      <c r="C43" s="45"/>
      <c r="D43" s="45"/>
    </row>
    <row r="44" spans="1:6" ht="15.75" customHeight="1">
      <c r="A44" s="45">
        <v>1</v>
      </c>
      <c r="B44" s="45" t="s">
        <v>18</v>
      </c>
      <c r="C44" s="45">
        <v>24.21</v>
      </c>
      <c r="D44" s="45">
        <v>185085.45</v>
      </c>
      <c r="E44" s="8">
        <f>D44</f>
        <v>185085.45</v>
      </c>
      <c r="F44" s="8">
        <f>D44</f>
        <v>185085.45</v>
      </c>
    </row>
    <row r="45" spans="1:6" ht="15.75" customHeight="1">
      <c r="A45" s="45"/>
      <c r="B45" s="45"/>
      <c r="C45" s="45"/>
      <c r="D45" s="45"/>
    </row>
    <row r="46" spans="1:6" ht="15.75" customHeight="1">
      <c r="A46" s="45">
        <v>2</v>
      </c>
      <c r="B46" s="45" t="s">
        <v>21</v>
      </c>
      <c r="C46" s="45"/>
      <c r="D46" s="45"/>
    </row>
    <row r="47" spans="1:6" ht="15.75" customHeight="1">
      <c r="A47" s="45">
        <v>3</v>
      </c>
      <c r="B47" s="45" t="s">
        <v>23</v>
      </c>
      <c r="C47" s="45">
        <v>5</v>
      </c>
      <c r="D47" s="45">
        <v>236925</v>
      </c>
      <c r="E47" s="8">
        <f t="shared" ref="E47:E56" si="4">D47</f>
        <v>236925</v>
      </c>
      <c r="F47" s="8">
        <f t="shared" ref="F47:F56" si="5">D47</f>
        <v>236925</v>
      </c>
    </row>
    <row r="48" spans="1:6" ht="15.75" customHeight="1">
      <c r="A48" s="45">
        <v>4</v>
      </c>
      <c r="B48" s="45" t="s">
        <v>25</v>
      </c>
      <c r="C48" s="45">
        <v>2</v>
      </c>
      <c r="D48" s="45">
        <v>89730</v>
      </c>
      <c r="E48" s="8">
        <f t="shared" si="4"/>
        <v>89730</v>
      </c>
      <c r="F48" s="8">
        <f t="shared" si="5"/>
        <v>89730</v>
      </c>
    </row>
    <row r="49" spans="1:6" ht="15.75" customHeight="1">
      <c r="A49" s="45">
        <v>5</v>
      </c>
      <c r="B49" s="45" t="s">
        <v>27</v>
      </c>
      <c r="C49" s="45">
        <v>1</v>
      </c>
      <c r="D49" s="45">
        <v>50055</v>
      </c>
      <c r="E49" s="8">
        <f t="shared" si="4"/>
        <v>50055</v>
      </c>
      <c r="F49" s="8">
        <f t="shared" si="5"/>
        <v>50055</v>
      </c>
    </row>
    <row r="50" spans="1:6" ht="15.75" customHeight="1">
      <c r="A50" s="45">
        <v>6</v>
      </c>
      <c r="B50" s="45" t="s">
        <v>29</v>
      </c>
      <c r="C50" s="45">
        <v>1</v>
      </c>
      <c r="D50" s="45">
        <v>52580</v>
      </c>
      <c r="E50" s="8">
        <f t="shared" si="4"/>
        <v>52580</v>
      </c>
      <c r="F50" s="8">
        <f t="shared" si="5"/>
        <v>52580</v>
      </c>
    </row>
    <row r="51" spans="1:6" ht="15.75" customHeight="1">
      <c r="A51" s="45">
        <v>7</v>
      </c>
      <c r="B51" s="44" t="s">
        <v>31</v>
      </c>
      <c r="C51" s="45">
        <v>1</v>
      </c>
      <c r="D51" s="45">
        <v>95060</v>
      </c>
      <c r="E51" s="8">
        <f t="shared" si="4"/>
        <v>95060</v>
      </c>
      <c r="F51" s="8">
        <f t="shared" si="5"/>
        <v>95060</v>
      </c>
    </row>
    <row r="52" spans="1:6" ht="15.75" customHeight="1">
      <c r="A52" s="45">
        <v>8</v>
      </c>
      <c r="B52" s="44" t="s">
        <v>33</v>
      </c>
      <c r="C52" s="49"/>
      <c r="D52" s="45"/>
      <c r="E52" s="8">
        <f t="shared" si="4"/>
        <v>0</v>
      </c>
      <c r="F52" s="8">
        <f t="shared" si="5"/>
        <v>0</v>
      </c>
    </row>
    <row r="53" spans="1:6" ht="15.75" customHeight="1">
      <c r="A53" s="45">
        <v>9</v>
      </c>
      <c r="B53" s="51" t="s">
        <v>34</v>
      </c>
      <c r="C53" s="49">
        <v>2</v>
      </c>
      <c r="D53" s="45">
        <v>22670</v>
      </c>
      <c r="E53" s="8">
        <f t="shared" si="4"/>
        <v>22670</v>
      </c>
      <c r="F53" s="8">
        <f t="shared" si="5"/>
        <v>22670</v>
      </c>
    </row>
    <row r="54" spans="1:6" ht="15.75" customHeight="1">
      <c r="A54" s="45">
        <v>10</v>
      </c>
      <c r="B54" s="47" t="s">
        <v>36</v>
      </c>
      <c r="C54" s="45">
        <v>2</v>
      </c>
      <c r="D54" s="45">
        <v>50250</v>
      </c>
      <c r="E54" s="8">
        <f t="shared" si="4"/>
        <v>50250</v>
      </c>
      <c r="F54" s="8">
        <f t="shared" si="5"/>
        <v>50250</v>
      </c>
    </row>
    <row r="55" spans="1:6" ht="15.75" customHeight="1">
      <c r="A55" s="45">
        <v>11</v>
      </c>
      <c r="B55" s="45" t="s">
        <v>38</v>
      </c>
      <c r="C55" s="45">
        <v>1</v>
      </c>
      <c r="D55" s="45">
        <v>32220</v>
      </c>
      <c r="E55" s="8">
        <f t="shared" si="4"/>
        <v>32220</v>
      </c>
      <c r="F55" s="8">
        <f t="shared" si="5"/>
        <v>32220</v>
      </c>
    </row>
    <row r="56" spans="1:6" ht="15.75" customHeight="1">
      <c r="A56" s="45"/>
      <c r="B56" s="45" t="s">
        <v>415</v>
      </c>
      <c r="C56" s="45">
        <v>5</v>
      </c>
      <c r="D56" s="45">
        <v>89665</v>
      </c>
      <c r="E56" s="8">
        <f t="shared" si="4"/>
        <v>89665</v>
      </c>
      <c r="F56" s="8">
        <f t="shared" si="5"/>
        <v>89665</v>
      </c>
    </row>
    <row r="57" spans="1:6" ht="15.75" customHeight="1">
      <c r="A57" s="45"/>
      <c r="B57" s="70" t="s">
        <v>293</v>
      </c>
      <c r="C57" s="84"/>
      <c r="D57" s="84">
        <f>SUM(D44:D56)</f>
        <v>904240.45</v>
      </c>
      <c r="E57" s="87">
        <f>SUM(E43:E56)</f>
        <v>904240.45</v>
      </c>
      <c r="F57" s="87">
        <f>SUM(F43:F56)</f>
        <v>904240.45</v>
      </c>
    </row>
  </sheetData>
  <mergeCells count="2">
    <mergeCell ref="B2:B3"/>
    <mergeCell ref="B29:B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8"/>
  <sheetViews>
    <sheetView topLeftCell="A29" workbookViewId="0">
      <selection activeCell="D63" sqref="D63"/>
    </sheetView>
  </sheetViews>
  <sheetFormatPr defaultColWidth="12.7109375" defaultRowHeight="15.75" customHeight="1"/>
  <cols>
    <col min="1" max="1" width="12.7109375" style="8"/>
    <col min="2" max="2" width="69.28515625" style="8" customWidth="1"/>
    <col min="3" max="16384" width="12.7109375" style="8"/>
  </cols>
  <sheetData>
    <row r="1" spans="1:7" ht="15.75" customHeight="1">
      <c r="A1" s="50"/>
      <c r="B1" s="52" t="s">
        <v>48</v>
      </c>
      <c r="C1" s="43" t="s">
        <v>15</v>
      </c>
      <c r="D1" s="43" t="s">
        <v>2</v>
      </c>
      <c r="E1" s="21" t="s">
        <v>5</v>
      </c>
      <c r="F1" s="21" t="s">
        <v>6</v>
      </c>
      <c r="G1" s="108" t="s">
        <v>393</v>
      </c>
    </row>
    <row r="2" spans="1:7" ht="12.75">
      <c r="A2" s="53"/>
      <c r="B2" s="46" t="s">
        <v>49</v>
      </c>
      <c r="C2" s="49"/>
      <c r="D2" s="45"/>
      <c r="E2" s="10"/>
      <c r="F2" s="10"/>
    </row>
    <row r="3" spans="1:7" ht="12.75">
      <c r="A3" s="53"/>
      <c r="B3" s="48" t="s">
        <v>50</v>
      </c>
      <c r="C3" s="49"/>
      <c r="D3" s="45"/>
      <c r="E3" s="10"/>
      <c r="F3" s="10"/>
    </row>
    <row r="4" spans="1:7" ht="12.75">
      <c r="A4" s="53">
        <v>1</v>
      </c>
      <c r="B4" s="48" t="s">
        <v>51</v>
      </c>
      <c r="C4" s="49"/>
      <c r="D4" s="45"/>
      <c r="E4" s="10"/>
      <c r="F4" s="10"/>
    </row>
    <row r="5" spans="1:7" ht="12.75">
      <c r="A5" s="53"/>
      <c r="B5" s="48" t="s">
        <v>52</v>
      </c>
      <c r="C5" s="49">
        <v>4</v>
      </c>
      <c r="D5" s="45">
        <v>28780</v>
      </c>
      <c r="E5" s="10">
        <v>28780</v>
      </c>
      <c r="F5" s="10">
        <v>28780</v>
      </c>
    </row>
    <row r="6" spans="1:7" ht="12.75">
      <c r="A6" s="53">
        <v>2</v>
      </c>
      <c r="B6" s="46" t="s">
        <v>53</v>
      </c>
      <c r="C6" s="49"/>
      <c r="D6" s="45"/>
      <c r="E6" s="10"/>
      <c r="F6" s="10"/>
    </row>
    <row r="7" spans="1:7" ht="12.75">
      <c r="A7" s="53"/>
      <c r="B7" s="48" t="s">
        <v>54</v>
      </c>
      <c r="C7" s="49">
        <v>13</v>
      </c>
      <c r="D7" s="45">
        <v>54340</v>
      </c>
      <c r="E7" s="10">
        <v>54340</v>
      </c>
      <c r="F7" s="10">
        <v>54340</v>
      </c>
    </row>
    <row r="8" spans="1:7" ht="12.75">
      <c r="A8" s="53">
        <v>3</v>
      </c>
      <c r="B8" s="46" t="s">
        <v>55</v>
      </c>
      <c r="C8" s="49"/>
      <c r="D8" s="45"/>
      <c r="E8" s="10"/>
      <c r="F8" s="10"/>
    </row>
    <row r="9" spans="1:7" ht="12.75">
      <c r="A9" s="53"/>
      <c r="B9" s="47" t="s">
        <v>56</v>
      </c>
      <c r="C9" s="49">
        <v>2</v>
      </c>
      <c r="D9" s="45">
        <v>14830</v>
      </c>
      <c r="E9" s="10">
        <v>14830</v>
      </c>
      <c r="F9" s="10">
        <v>14830</v>
      </c>
    </row>
    <row r="10" spans="1:7" ht="19.5" customHeight="1">
      <c r="A10" s="45">
        <v>4</v>
      </c>
      <c r="B10" s="47" t="s">
        <v>57</v>
      </c>
      <c r="C10" s="45">
        <v>6</v>
      </c>
      <c r="D10" s="45">
        <v>3810</v>
      </c>
      <c r="E10" s="10">
        <v>3810</v>
      </c>
      <c r="F10" s="10">
        <v>3810</v>
      </c>
    </row>
    <row r="11" spans="1:7" ht="12.75">
      <c r="A11" s="45">
        <v>5</v>
      </c>
      <c r="B11" s="45" t="s">
        <v>58</v>
      </c>
      <c r="C11" s="45">
        <v>3</v>
      </c>
      <c r="D11" s="45">
        <v>2295</v>
      </c>
      <c r="E11" s="10">
        <v>2295</v>
      </c>
      <c r="F11" s="10">
        <v>2295</v>
      </c>
    </row>
    <row r="12" spans="1:7" ht="12.75">
      <c r="A12" s="45">
        <v>6</v>
      </c>
      <c r="B12" s="45" t="s">
        <v>59</v>
      </c>
      <c r="C12" s="45">
        <v>6</v>
      </c>
      <c r="D12" s="45">
        <v>5250</v>
      </c>
      <c r="E12" s="10">
        <v>5250</v>
      </c>
      <c r="F12" s="10">
        <v>5250</v>
      </c>
    </row>
    <row r="13" spans="1:7" ht="12.75">
      <c r="A13" s="45">
        <v>7</v>
      </c>
      <c r="B13" s="45" t="s">
        <v>60</v>
      </c>
      <c r="C13" s="45">
        <v>2</v>
      </c>
      <c r="D13" s="45">
        <v>1960</v>
      </c>
      <c r="E13" s="10">
        <v>1960</v>
      </c>
      <c r="F13" s="10">
        <v>1960</v>
      </c>
    </row>
    <row r="14" spans="1:7" ht="12.75">
      <c r="A14" s="45">
        <v>8</v>
      </c>
      <c r="B14" s="46" t="s">
        <v>61</v>
      </c>
      <c r="C14" s="45">
        <v>2</v>
      </c>
      <c r="D14" s="45">
        <v>2200</v>
      </c>
      <c r="E14" s="10">
        <v>2200</v>
      </c>
      <c r="F14" s="10">
        <v>2200</v>
      </c>
    </row>
    <row r="15" spans="1:7" ht="12.75">
      <c r="A15" s="53">
        <v>9</v>
      </c>
      <c r="B15" s="46" t="s">
        <v>62</v>
      </c>
      <c r="C15" s="49"/>
      <c r="D15" s="45"/>
      <c r="E15" s="10"/>
      <c r="F15" s="10"/>
    </row>
    <row r="16" spans="1:7" ht="12.75">
      <c r="A16" s="53"/>
      <c r="B16" s="48" t="s">
        <v>63</v>
      </c>
      <c r="C16" s="49">
        <v>7</v>
      </c>
      <c r="D16" s="45">
        <v>23695</v>
      </c>
      <c r="E16" s="10">
        <v>23695</v>
      </c>
      <c r="F16" s="10">
        <v>23695</v>
      </c>
      <c r="G16" s="8">
        <f>D16</f>
        <v>23695</v>
      </c>
    </row>
    <row r="17" spans="1:7" ht="12.75">
      <c r="A17" s="53">
        <v>10</v>
      </c>
      <c r="B17" s="46" t="s">
        <v>64</v>
      </c>
      <c r="C17" s="49"/>
      <c r="D17" s="45"/>
      <c r="E17" s="10"/>
      <c r="F17" s="10"/>
    </row>
    <row r="18" spans="1:7" ht="12.75">
      <c r="A18" s="53"/>
      <c r="B18" s="47" t="s">
        <v>65</v>
      </c>
      <c r="C18" s="49">
        <v>2</v>
      </c>
      <c r="D18" s="45">
        <v>6480</v>
      </c>
      <c r="E18" s="10">
        <v>6480</v>
      </c>
      <c r="F18" s="10">
        <v>6480</v>
      </c>
    </row>
    <row r="19" spans="1:7" ht="12.75">
      <c r="A19" s="45">
        <v>11</v>
      </c>
      <c r="B19" s="47" t="s">
        <v>66</v>
      </c>
      <c r="C19" s="45">
        <v>13</v>
      </c>
      <c r="D19" s="45">
        <v>31070</v>
      </c>
      <c r="E19" s="10">
        <v>31070</v>
      </c>
      <c r="F19" s="10">
        <v>31070</v>
      </c>
      <c r="G19" s="8">
        <f>D19</f>
        <v>31070</v>
      </c>
    </row>
    <row r="20" spans="1:7" ht="12.75">
      <c r="A20" s="45">
        <v>12</v>
      </c>
      <c r="B20" s="46" t="s">
        <v>67</v>
      </c>
      <c r="C20" s="45">
        <v>6</v>
      </c>
      <c r="D20" s="45">
        <v>14490</v>
      </c>
      <c r="E20" s="10">
        <v>14490</v>
      </c>
      <c r="F20" s="10">
        <v>14490</v>
      </c>
      <c r="G20" s="8">
        <f>D20</f>
        <v>14490</v>
      </c>
    </row>
    <row r="21" spans="1:7" ht="12.75">
      <c r="A21" s="53">
        <v>13</v>
      </c>
      <c r="B21" s="45" t="s">
        <v>68</v>
      </c>
      <c r="C21" s="49">
        <v>3</v>
      </c>
      <c r="D21" s="45">
        <v>12300</v>
      </c>
      <c r="E21" s="10">
        <v>12300</v>
      </c>
      <c r="F21" s="10">
        <v>12300</v>
      </c>
      <c r="G21" s="8">
        <f>D21</f>
        <v>12300</v>
      </c>
    </row>
    <row r="22" spans="1:7" ht="12.75">
      <c r="A22" s="53"/>
      <c r="B22" s="46"/>
      <c r="C22" s="49"/>
      <c r="D22" s="45"/>
      <c r="E22" s="10"/>
      <c r="F22" s="10"/>
    </row>
    <row r="23" spans="1:7" ht="12.75">
      <c r="A23" s="53"/>
      <c r="B23" s="46" t="s">
        <v>69</v>
      </c>
      <c r="C23" s="49"/>
      <c r="D23" s="45"/>
      <c r="E23" s="10"/>
      <c r="F23" s="10"/>
    </row>
    <row r="24" spans="1:7" ht="12.75">
      <c r="A24" s="53"/>
      <c r="B24" s="47" t="s">
        <v>70</v>
      </c>
      <c r="C24" s="49"/>
      <c r="D24" s="45"/>
      <c r="E24" s="10"/>
      <c r="F24" s="10"/>
    </row>
    <row r="25" spans="1:7" ht="12.75">
      <c r="A25" s="45">
        <v>14</v>
      </c>
      <c r="B25" s="47" t="s">
        <v>71</v>
      </c>
      <c r="C25" s="45">
        <v>8</v>
      </c>
      <c r="D25" s="45">
        <v>30440</v>
      </c>
      <c r="E25" s="10">
        <v>30440</v>
      </c>
      <c r="F25" s="10">
        <v>30440</v>
      </c>
      <c r="G25" s="8">
        <f>D25</f>
        <v>30440</v>
      </c>
    </row>
    <row r="26" spans="1:7" ht="12.75">
      <c r="A26" s="45">
        <v>15</v>
      </c>
      <c r="B26" s="45" t="s">
        <v>72</v>
      </c>
      <c r="C26" s="45">
        <v>3</v>
      </c>
      <c r="D26" s="45">
        <v>11160</v>
      </c>
      <c r="E26" s="10">
        <v>11160</v>
      </c>
      <c r="F26" s="10">
        <v>11160</v>
      </c>
      <c r="G26" s="8">
        <f>D26</f>
        <v>11160</v>
      </c>
    </row>
    <row r="27" spans="1:7" ht="12.75">
      <c r="A27" s="45"/>
      <c r="B27" s="46"/>
      <c r="C27" s="45"/>
      <c r="D27" s="45"/>
      <c r="E27" s="10"/>
      <c r="F27" s="10"/>
    </row>
    <row r="28" spans="1:7" ht="12.75">
      <c r="A28" s="53"/>
      <c r="B28" s="46" t="s">
        <v>73</v>
      </c>
      <c r="C28" s="49"/>
      <c r="D28" s="45"/>
      <c r="E28" s="10"/>
      <c r="F28" s="10"/>
    </row>
    <row r="29" spans="1:7" ht="12.75">
      <c r="A29" s="53"/>
      <c r="B29" s="48" t="s">
        <v>74</v>
      </c>
      <c r="C29" s="49"/>
      <c r="D29" s="45"/>
      <c r="E29" s="10"/>
      <c r="F29" s="10"/>
    </row>
    <row r="30" spans="1:7" ht="12.75">
      <c r="A30" s="45">
        <v>16</v>
      </c>
      <c r="B30" s="46" t="s">
        <v>75</v>
      </c>
      <c r="C30" s="45">
        <v>1</v>
      </c>
      <c r="D30" s="45">
        <v>13185</v>
      </c>
      <c r="E30" s="10">
        <v>13185</v>
      </c>
      <c r="F30" s="10">
        <v>13185</v>
      </c>
      <c r="G30" s="8">
        <f>D30</f>
        <v>13185</v>
      </c>
    </row>
    <row r="31" spans="1:7" ht="12.75">
      <c r="A31" s="53"/>
      <c r="B31" s="46" t="s">
        <v>76</v>
      </c>
      <c r="C31" s="49"/>
      <c r="D31" s="45"/>
      <c r="E31" s="10"/>
      <c r="F31" s="10"/>
    </row>
    <row r="32" spans="1:7" ht="12.75">
      <c r="A32" s="53"/>
      <c r="B32" s="48" t="s">
        <v>77</v>
      </c>
      <c r="C32" s="49"/>
      <c r="D32" s="45"/>
      <c r="E32" s="10"/>
      <c r="F32" s="10"/>
    </row>
    <row r="33" spans="1:7" ht="12.75">
      <c r="A33" s="53">
        <v>17</v>
      </c>
      <c r="B33" s="47" t="s">
        <v>78</v>
      </c>
      <c r="C33" s="49">
        <v>1</v>
      </c>
      <c r="D33" s="45">
        <v>10900</v>
      </c>
      <c r="E33" s="10">
        <v>10900</v>
      </c>
      <c r="F33" s="10">
        <v>10900</v>
      </c>
      <c r="G33" s="8">
        <f>D33</f>
        <v>10900</v>
      </c>
    </row>
    <row r="34" spans="1:7" ht="12.75">
      <c r="A34" s="45"/>
      <c r="B34" s="48"/>
      <c r="C34" s="45"/>
      <c r="D34" s="45"/>
      <c r="E34" s="10"/>
      <c r="F34" s="10"/>
    </row>
    <row r="35" spans="1:7" ht="12.75">
      <c r="A35" s="53"/>
      <c r="B35" s="46" t="s">
        <v>79</v>
      </c>
      <c r="C35" s="49"/>
      <c r="D35" s="45"/>
      <c r="E35" s="10"/>
      <c r="F35" s="10"/>
    </row>
    <row r="36" spans="1:7" ht="12.75">
      <c r="A36" s="53"/>
      <c r="B36" s="48" t="s">
        <v>80</v>
      </c>
      <c r="C36" s="49"/>
      <c r="D36" s="45"/>
      <c r="E36" s="10"/>
      <c r="F36" s="10"/>
    </row>
    <row r="37" spans="1:7" ht="12.75">
      <c r="A37" s="53">
        <v>18</v>
      </c>
      <c r="B37" s="47" t="s">
        <v>81</v>
      </c>
      <c r="C37" s="49">
        <v>5</v>
      </c>
      <c r="D37" s="45">
        <v>25425</v>
      </c>
      <c r="E37" s="10">
        <v>25425</v>
      </c>
      <c r="F37" s="10">
        <v>25425</v>
      </c>
      <c r="G37" s="8">
        <f>D37</f>
        <v>25425</v>
      </c>
    </row>
    <row r="38" spans="1:7" ht="12.75">
      <c r="A38" s="45"/>
      <c r="B38" s="47"/>
      <c r="C38" s="45"/>
      <c r="D38" s="45"/>
      <c r="E38" s="10"/>
      <c r="F38" s="10"/>
    </row>
    <row r="39" spans="1:7" ht="12.75">
      <c r="A39" s="45"/>
      <c r="B39" s="45" t="s">
        <v>82</v>
      </c>
      <c r="C39" s="45"/>
      <c r="D39" s="45"/>
      <c r="E39" s="10"/>
      <c r="F39" s="10"/>
    </row>
    <row r="40" spans="1:7" ht="12.75">
      <c r="A40" s="45"/>
      <c r="B40" s="45" t="s">
        <v>83</v>
      </c>
      <c r="C40" s="45"/>
      <c r="D40" s="45"/>
      <c r="E40" s="10"/>
      <c r="F40" s="10"/>
    </row>
    <row r="41" spans="1:7" ht="12.75">
      <c r="A41" s="45">
        <v>19</v>
      </c>
      <c r="B41" s="45" t="s">
        <v>84</v>
      </c>
      <c r="C41" s="45">
        <v>2</v>
      </c>
      <c r="D41" s="45">
        <v>910</v>
      </c>
      <c r="E41" s="10">
        <v>910</v>
      </c>
      <c r="F41" s="10">
        <v>910</v>
      </c>
    </row>
    <row r="42" spans="1:7" ht="12.75">
      <c r="A42" s="45">
        <v>29</v>
      </c>
      <c r="B42" s="45" t="s">
        <v>85</v>
      </c>
      <c r="C42" s="45">
        <v>1</v>
      </c>
      <c r="D42" s="45">
        <v>495</v>
      </c>
      <c r="E42" s="10">
        <v>495</v>
      </c>
      <c r="F42" s="10">
        <v>495</v>
      </c>
    </row>
    <row r="43" spans="1:7" ht="12.75">
      <c r="A43" s="45"/>
      <c r="B43" s="45"/>
      <c r="C43" s="45"/>
      <c r="D43" s="45"/>
      <c r="E43" s="10"/>
      <c r="F43" s="10"/>
    </row>
    <row r="44" spans="1:7" ht="12.75">
      <c r="A44" s="45">
        <v>30</v>
      </c>
      <c r="B44" s="45" t="s">
        <v>86</v>
      </c>
      <c r="C44" s="45">
        <v>11</v>
      </c>
      <c r="D44" s="45">
        <v>14465</v>
      </c>
      <c r="E44" s="10">
        <v>14465</v>
      </c>
      <c r="F44" s="10">
        <v>14465</v>
      </c>
      <c r="G44" s="8">
        <f>D44</f>
        <v>14465</v>
      </c>
    </row>
    <row r="45" spans="1:7" ht="12.75">
      <c r="A45" s="45"/>
      <c r="B45" s="45"/>
      <c r="C45" s="45"/>
      <c r="D45" s="45"/>
      <c r="E45" s="10"/>
      <c r="F45" s="10"/>
    </row>
    <row r="46" spans="1:7" ht="12.75">
      <c r="A46" s="45">
        <v>31</v>
      </c>
      <c r="B46" s="45" t="s">
        <v>87</v>
      </c>
      <c r="C46" s="45">
        <v>12</v>
      </c>
      <c r="D46" s="45">
        <v>70500</v>
      </c>
      <c r="E46" s="10">
        <v>70500</v>
      </c>
      <c r="F46" s="10">
        <v>70500</v>
      </c>
      <c r="G46" s="8">
        <f>D46</f>
        <v>70500</v>
      </c>
    </row>
    <row r="47" spans="1:7" ht="12.75">
      <c r="A47" s="45"/>
      <c r="B47" s="45"/>
      <c r="C47" s="45"/>
      <c r="D47" s="45"/>
      <c r="E47" s="10"/>
      <c r="F47" s="10"/>
    </row>
    <row r="48" spans="1:7" ht="12.75">
      <c r="A48" s="45">
        <v>32</v>
      </c>
      <c r="B48" s="45" t="s">
        <v>88</v>
      </c>
      <c r="C48" s="45">
        <v>10</v>
      </c>
      <c r="D48" s="45">
        <v>9160</v>
      </c>
      <c r="E48" s="10">
        <v>9160</v>
      </c>
      <c r="F48" s="10">
        <v>9160</v>
      </c>
      <c r="G48" s="8">
        <f>D48</f>
        <v>9160</v>
      </c>
    </row>
    <row r="49" spans="1:7" ht="12.75">
      <c r="A49" s="45"/>
      <c r="B49" s="45"/>
      <c r="C49" s="45"/>
      <c r="D49" s="45"/>
      <c r="E49" s="10"/>
      <c r="F49" s="10"/>
    </row>
    <row r="50" spans="1:7" ht="12.75">
      <c r="A50" s="45">
        <v>33</v>
      </c>
      <c r="B50" s="45" t="s">
        <v>89</v>
      </c>
      <c r="C50" s="45">
        <v>23</v>
      </c>
      <c r="D50" s="45">
        <v>103615</v>
      </c>
      <c r="E50" s="10">
        <v>103615</v>
      </c>
      <c r="F50" s="10">
        <v>103615</v>
      </c>
      <c r="G50" s="8">
        <f>D50</f>
        <v>103615</v>
      </c>
    </row>
    <row r="51" spans="1:7" ht="12.75">
      <c r="A51" s="45">
        <v>34</v>
      </c>
      <c r="B51" s="45" t="s">
        <v>90</v>
      </c>
      <c r="C51" s="45">
        <v>23</v>
      </c>
      <c r="D51" s="45">
        <v>26910</v>
      </c>
      <c r="E51" s="10">
        <v>26910</v>
      </c>
      <c r="F51" s="10">
        <v>26910</v>
      </c>
      <c r="G51" s="8">
        <f>D51</f>
        <v>26910</v>
      </c>
    </row>
    <row r="52" spans="1:7" ht="12.75">
      <c r="A52" s="45">
        <v>35</v>
      </c>
      <c r="B52" s="45" t="s">
        <v>91</v>
      </c>
      <c r="C52" s="45">
        <v>7</v>
      </c>
      <c r="D52" s="45">
        <v>13160</v>
      </c>
      <c r="E52" s="24">
        <v>13160</v>
      </c>
      <c r="F52" s="24">
        <v>13160</v>
      </c>
      <c r="G52" s="8">
        <f>D52</f>
        <v>13160</v>
      </c>
    </row>
    <row r="53" spans="1:7" ht="12.75">
      <c r="A53" s="9">
        <v>36</v>
      </c>
      <c r="B53" s="9" t="s">
        <v>416</v>
      </c>
      <c r="C53" s="9">
        <v>16</v>
      </c>
      <c r="D53" s="10">
        <v>99920</v>
      </c>
      <c r="E53" s="22"/>
      <c r="F53" s="22"/>
      <c r="G53" s="8">
        <f>D53</f>
        <v>99920</v>
      </c>
    </row>
    <row r="54" spans="1:7" ht="12.75">
      <c r="A54" s="9">
        <v>37</v>
      </c>
      <c r="B54" s="9" t="s">
        <v>417</v>
      </c>
      <c r="C54" s="9">
        <v>2</v>
      </c>
      <c r="D54" s="10">
        <v>1190</v>
      </c>
      <c r="E54" s="22"/>
      <c r="F54" s="22"/>
      <c r="G54" s="8">
        <f>D54</f>
        <v>1190</v>
      </c>
    </row>
    <row r="55" spans="1:7" ht="12.75">
      <c r="A55" s="9"/>
      <c r="B55" s="9"/>
      <c r="C55" s="9"/>
      <c r="D55" s="10"/>
      <c r="E55" s="22"/>
      <c r="F55" s="22"/>
    </row>
    <row r="56" spans="1:7" ht="12.75">
      <c r="A56" s="9"/>
      <c r="B56" s="9"/>
      <c r="C56" s="9"/>
      <c r="D56" s="10"/>
      <c r="E56" s="22"/>
      <c r="F56" s="22"/>
    </row>
    <row r="57" spans="1:7" ht="12.75">
      <c r="A57" s="9"/>
      <c r="B57" s="9"/>
      <c r="C57" s="9"/>
      <c r="D57" s="10"/>
      <c r="E57" s="22"/>
      <c r="F57" s="22"/>
    </row>
    <row r="58" spans="1:7" ht="12.75">
      <c r="A58" s="9"/>
      <c r="B58" s="9"/>
      <c r="C58" s="9"/>
      <c r="D58" s="10"/>
      <c r="E58" s="118">
        <f>SUM(E2:E57)</f>
        <v>531825</v>
      </c>
      <c r="F58" s="118">
        <f>SUM(F2:F57)</f>
        <v>531825</v>
      </c>
      <c r="G58" s="129">
        <f>SUM(G2:G57)</f>
        <v>511585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171B-1AAF-487A-8BAA-CC559FB04C12}">
  <dimension ref="B2:H15"/>
  <sheetViews>
    <sheetView topLeftCell="B1" workbookViewId="0">
      <selection activeCell="C5" sqref="C5"/>
    </sheetView>
  </sheetViews>
  <sheetFormatPr defaultRowHeight="15"/>
  <cols>
    <col min="3" max="3" width="81.140625" customWidth="1"/>
    <col min="4" max="4" width="16.7109375" customWidth="1"/>
    <col min="5" max="5" width="26.42578125" customWidth="1"/>
    <col min="6" max="6" width="12" customWidth="1"/>
    <col min="7" max="7" width="11.28515625" customWidth="1"/>
  </cols>
  <sheetData>
    <row r="2" spans="2:8" ht="15.75">
      <c r="B2" s="147" t="s">
        <v>380</v>
      </c>
      <c r="C2" s="148"/>
      <c r="D2" s="148"/>
      <c r="E2" s="149"/>
    </row>
    <row r="3" spans="2:8">
      <c r="B3" s="73" t="s">
        <v>267</v>
      </c>
      <c r="C3" s="42" t="s">
        <v>381</v>
      </c>
      <c r="D3" s="42" t="s">
        <v>15</v>
      </c>
      <c r="E3" s="42" t="s">
        <v>4</v>
      </c>
      <c r="F3" s="107" t="s">
        <v>5</v>
      </c>
      <c r="G3" s="107" t="s">
        <v>6</v>
      </c>
      <c r="H3" s="108" t="s">
        <v>393</v>
      </c>
    </row>
    <row r="4" spans="2:8" ht="15.75">
      <c r="B4" s="78">
        <v>1</v>
      </c>
      <c r="C4" s="29" t="s">
        <v>294</v>
      </c>
      <c r="D4" s="30">
        <v>26</v>
      </c>
      <c r="E4" s="104">
        <v>59800</v>
      </c>
      <c r="F4" s="109">
        <f>E4</f>
        <v>59800</v>
      </c>
      <c r="G4" s="109">
        <f>E4</f>
        <v>59800</v>
      </c>
      <c r="H4">
        <f>E4</f>
        <v>59800</v>
      </c>
    </row>
    <row r="5" spans="2:8" ht="15.75">
      <c r="B5" s="76">
        <v>2</v>
      </c>
      <c r="C5" s="31" t="s">
        <v>295</v>
      </c>
      <c r="D5" s="32">
        <v>3</v>
      </c>
      <c r="E5" s="101">
        <v>2655</v>
      </c>
      <c r="F5" s="109">
        <f t="shared" ref="F5:F14" si="0">E5</f>
        <v>2655</v>
      </c>
      <c r="G5" s="109">
        <f t="shared" ref="G5:G14" si="1">E5</f>
        <v>2655</v>
      </c>
      <c r="H5">
        <f>E5</f>
        <v>2655</v>
      </c>
    </row>
    <row r="6" spans="2:8" ht="15.75">
      <c r="B6" s="76">
        <v>3</v>
      </c>
      <c r="C6" s="33" t="s">
        <v>296</v>
      </c>
      <c r="D6" s="34">
        <v>13</v>
      </c>
      <c r="E6" s="101">
        <v>10270</v>
      </c>
      <c r="F6" s="109">
        <f t="shared" si="0"/>
        <v>10270</v>
      </c>
      <c r="G6" s="109">
        <f t="shared" si="1"/>
        <v>10270</v>
      </c>
      <c r="H6">
        <f t="shared" ref="H6:H14" si="2">E6</f>
        <v>10270</v>
      </c>
    </row>
    <row r="7" spans="2:8" ht="15.75">
      <c r="B7" s="76">
        <v>4</v>
      </c>
      <c r="C7" s="33" t="s">
        <v>297</v>
      </c>
      <c r="D7" s="32">
        <v>7</v>
      </c>
      <c r="E7" s="101">
        <v>4200</v>
      </c>
      <c r="F7" s="109">
        <f t="shared" si="0"/>
        <v>4200</v>
      </c>
      <c r="G7" s="109">
        <f t="shared" si="1"/>
        <v>4200</v>
      </c>
      <c r="H7">
        <f t="shared" si="2"/>
        <v>4200</v>
      </c>
    </row>
    <row r="8" spans="2:8" ht="15.75">
      <c r="B8" s="76">
        <v>5</v>
      </c>
      <c r="C8" s="35" t="s">
        <v>298</v>
      </c>
      <c r="D8" s="34">
        <v>10</v>
      </c>
      <c r="E8" s="101">
        <v>18000</v>
      </c>
      <c r="F8" s="109">
        <f t="shared" si="0"/>
        <v>18000</v>
      </c>
      <c r="G8" s="109">
        <f t="shared" si="1"/>
        <v>18000</v>
      </c>
      <c r="H8">
        <f t="shared" si="2"/>
        <v>18000</v>
      </c>
    </row>
    <row r="9" spans="2:8" ht="15.75">
      <c r="B9" s="76">
        <v>6</v>
      </c>
      <c r="C9" s="31" t="s">
        <v>299</v>
      </c>
      <c r="D9" s="30">
        <v>3</v>
      </c>
      <c r="E9" s="101">
        <v>5250</v>
      </c>
      <c r="F9" s="109">
        <f t="shared" si="0"/>
        <v>5250</v>
      </c>
      <c r="G9" s="109">
        <f t="shared" si="1"/>
        <v>5250</v>
      </c>
      <c r="H9">
        <f t="shared" si="2"/>
        <v>5250</v>
      </c>
    </row>
    <row r="10" spans="2:8" ht="15.75">
      <c r="B10" s="76">
        <v>7</v>
      </c>
      <c r="C10" s="33" t="s">
        <v>300</v>
      </c>
      <c r="D10" s="32">
        <v>2</v>
      </c>
      <c r="E10" s="101">
        <v>2700</v>
      </c>
      <c r="F10" s="109">
        <f t="shared" si="0"/>
        <v>2700</v>
      </c>
      <c r="G10" s="109">
        <f t="shared" si="1"/>
        <v>2700</v>
      </c>
      <c r="H10">
        <f t="shared" si="2"/>
        <v>2700</v>
      </c>
    </row>
    <row r="11" spans="2:8" ht="15.75">
      <c r="B11" s="76">
        <v>8</v>
      </c>
      <c r="C11" s="33" t="s">
        <v>301</v>
      </c>
      <c r="D11" s="34">
        <v>19</v>
      </c>
      <c r="E11" s="101">
        <v>7600</v>
      </c>
      <c r="F11" s="109">
        <f t="shared" si="0"/>
        <v>7600</v>
      </c>
      <c r="G11" s="109">
        <f t="shared" si="1"/>
        <v>7600</v>
      </c>
      <c r="H11">
        <f t="shared" si="2"/>
        <v>7600</v>
      </c>
    </row>
    <row r="12" spans="2:8" ht="15.75">
      <c r="B12" s="76">
        <v>9</v>
      </c>
      <c r="C12" s="35" t="s">
        <v>302</v>
      </c>
      <c r="D12" s="32">
        <v>5</v>
      </c>
      <c r="E12" s="101">
        <v>8250</v>
      </c>
      <c r="F12" s="109">
        <f t="shared" si="0"/>
        <v>8250</v>
      </c>
      <c r="G12" s="109">
        <f t="shared" si="1"/>
        <v>8250</v>
      </c>
      <c r="H12">
        <f t="shared" si="2"/>
        <v>8250</v>
      </c>
    </row>
    <row r="13" spans="2:8" ht="15.75">
      <c r="B13" s="76">
        <v>10</v>
      </c>
      <c r="C13" s="31" t="s">
        <v>303</v>
      </c>
      <c r="D13" s="34">
        <v>9</v>
      </c>
      <c r="E13" s="101">
        <v>25200</v>
      </c>
      <c r="F13" s="109">
        <f t="shared" si="0"/>
        <v>25200</v>
      </c>
      <c r="G13" s="109">
        <f t="shared" si="1"/>
        <v>25200</v>
      </c>
      <c r="H13">
        <f t="shared" si="2"/>
        <v>25200</v>
      </c>
    </row>
    <row r="14" spans="2:8" ht="15.75">
      <c r="B14" s="79">
        <v>11</v>
      </c>
      <c r="C14" s="36" t="s">
        <v>304</v>
      </c>
      <c r="D14" s="37">
        <v>2</v>
      </c>
      <c r="E14" s="101">
        <v>3900</v>
      </c>
      <c r="F14" s="109">
        <f t="shared" si="0"/>
        <v>3900</v>
      </c>
      <c r="G14" s="109">
        <f t="shared" si="1"/>
        <v>3900</v>
      </c>
      <c r="H14">
        <f t="shared" si="2"/>
        <v>3900</v>
      </c>
    </row>
    <row r="15" spans="2:8">
      <c r="C15" s="123" t="s">
        <v>293</v>
      </c>
      <c r="D15" s="111"/>
      <c r="E15" s="97"/>
      <c r="F15" s="124">
        <f>SUM(F4:F14)</f>
        <v>147825</v>
      </c>
      <c r="G15" s="124">
        <f>SUM(G4:G14)</f>
        <v>147825</v>
      </c>
      <c r="H15" s="111">
        <f>SUM(H4:H14)</f>
        <v>147825</v>
      </c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5"/>
  <sheetViews>
    <sheetView workbookViewId="0">
      <selection activeCell="G38" sqref="G38"/>
    </sheetView>
  </sheetViews>
  <sheetFormatPr defaultColWidth="12.7109375" defaultRowHeight="15.75" customHeight="1"/>
  <cols>
    <col min="1" max="1" width="5.7109375" style="8" customWidth="1"/>
    <col min="2" max="2" width="12.140625" style="8" customWidth="1"/>
    <col min="3" max="3" width="38.42578125" style="8" bestFit="1" customWidth="1"/>
    <col min="4" max="4" width="30.28515625" style="8" customWidth="1"/>
    <col min="5" max="5" width="15.140625" style="58" customWidth="1"/>
    <col min="6" max="6" width="12.7109375" style="8"/>
    <col min="7" max="7" width="15.28515625" style="8" customWidth="1"/>
    <col min="8" max="8" width="33.85546875" style="8" customWidth="1"/>
    <col min="9" max="9" width="13.85546875" style="8" customWidth="1"/>
    <col min="10" max="16384" width="12.7109375" style="8"/>
  </cols>
  <sheetData>
    <row r="1" spans="1:9" ht="15.75" customHeight="1">
      <c r="A1" s="9"/>
      <c r="C1" s="7" t="s">
        <v>92</v>
      </c>
      <c r="D1" s="7" t="s">
        <v>93</v>
      </c>
      <c r="E1" s="7" t="s">
        <v>4</v>
      </c>
      <c r="G1" s="59" t="s">
        <v>334</v>
      </c>
      <c r="H1" s="59" t="s">
        <v>335</v>
      </c>
      <c r="I1" s="43" t="s">
        <v>4</v>
      </c>
    </row>
    <row r="2" spans="1:9" ht="15">
      <c r="A2" s="9">
        <v>1</v>
      </c>
      <c r="B2" s="11" t="s">
        <v>326</v>
      </c>
      <c r="C2" s="9" t="s">
        <v>327</v>
      </c>
      <c r="D2" s="9" t="s">
        <v>328</v>
      </c>
      <c r="E2" s="58">
        <v>88990</v>
      </c>
      <c r="G2" s="60"/>
      <c r="H2" s="60"/>
      <c r="I2"/>
    </row>
    <row r="3" spans="1:9" ht="12.75">
      <c r="A3" s="9">
        <v>2</v>
      </c>
      <c r="B3" s="11" t="s">
        <v>326</v>
      </c>
      <c r="C3" s="11" t="s">
        <v>106</v>
      </c>
      <c r="D3" s="9" t="s">
        <v>107</v>
      </c>
      <c r="E3" s="58">
        <v>98000</v>
      </c>
      <c r="G3" s="61" t="s">
        <v>244</v>
      </c>
      <c r="H3" s="60" t="s">
        <v>245</v>
      </c>
      <c r="I3" s="62">
        <v>13656.48</v>
      </c>
    </row>
    <row r="4" spans="1:9" ht="12.75">
      <c r="A4" s="9">
        <v>3</v>
      </c>
      <c r="B4" s="11" t="s">
        <v>326</v>
      </c>
      <c r="C4" s="9" t="s">
        <v>329</v>
      </c>
      <c r="D4" s="9" t="s">
        <v>330</v>
      </c>
      <c r="E4" s="58">
        <v>88990</v>
      </c>
      <c r="G4" s="61" t="s">
        <v>96</v>
      </c>
      <c r="H4" s="60" t="s">
        <v>247</v>
      </c>
      <c r="I4" s="45">
        <v>15500</v>
      </c>
    </row>
    <row r="5" spans="1:9" ht="12.75">
      <c r="A5" s="9">
        <v>4</v>
      </c>
      <c r="B5" s="11" t="s">
        <v>326</v>
      </c>
      <c r="C5" s="9" t="s">
        <v>113</v>
      </c>
      <c r="D5" s="9" t="s">
        <v>114</v>
      </c>
      <c r="E5" s="58">
        <v>56000</v>
      </c>
      <c r="G5" s="61" t="s">
        <v>103</v>
      </c>
      <c r="H5" s="60" t="s">
        <v>104</v>
      </c>
      <c r="I5" s="45">
        <v>17500</v>
      </c>
    </row>
    <row r="6" spans="1:9" ht="12.75">
      <c r="A6" s="9">
        <v>5</v>
      </c>
      <c r="B6" s="11" t="s">
        <v>326</v>
      </c>
      <c r="C6" s="9" t="s">
        <v>113</v>
      </c>
      <c r="D6" s="9" t="s">
        <v>118</v>
      </c>
      <c r="E6" s="58">
        <v>56000</v>
      </c>
      <c r="G6" s="61" t="s">
        <v>129</v>
      </c>
      <c r="H6" s="60" t="s">
        <v>238</v>
      </c>
      <c r="I6" s="45">
        <v>12700</v>
      </c>
    </row>
    <row r="7" spans="1:9" ht="12.75">
      <c r="A7" s="9">
        <v>6</v>
      </c>
      <c r="B7" s="11" t="s">
        <v>326</v>
      </c>
      <c r="C7" s="11" t="s">
        <v>113</v>
      </c>
      <c r="D7" s="9" t="s">
        <v>122</v>
      </c>
      <c r="E7" s="58">
        <v>56000</v>
      </c>
      <c r="G7" s="61" t="s">
        <v>103</v>
      </c>
      <c r="H7" s="60" t="s">
        <v>250</v>
      </c>
      <c r="I7" s="45">
        <v>17500</v>
      </c>
    </row>
    <row r="8" spans="1:9" ht="12.75">
      <c r="A8" s="9">
        <v>7</v>
      </c>
      <c r="B8" s="12" t="s">
        <v>326</v>
      </c>
      <c r="C8" s="9" t="s">
        <v>113</v>
      </c>
      <c r="D8" s="9" t="s">
        <v>142</v>
      </c>
      <c r="E8" s="58">
        <v>56000</v>
      </c>
      <c r="G8" s="61" t="s">
        <v>207</v>
      </c>
      <c r="H8" s="60" t="s">
        <v>251</v>
      </c>
      <c r="I8" s="45">
        <v>17500</v>
      </c>
    </row>
    <row r="9" spans="1:9" ht="12.75">
      <c r="A9" s="9">
        <v>8</v>
      </c>
      <c r="B9" s="11" t="s">
        <v>326</v>
      </c>
      <c r="C9" s="9" t="s">
        <v>113</v>
      </c>
      <c r="D9" s="9" t="s">
        <v>144</v>
      </c>
      <c r="E9" s="58">
        <v>56000</v>
      </c>
      <c r="G9" s="61" t="s">
        <v>96</v>
      </c>
      <c r="H9" s="60" t="s">
        <v>252</v>
      </c>
      <c r="I9" s="45">
        <v>15500</v>
      </c>
    </row>
    <row r="10" spans="1:9" ht="12.75">
      <c r="A10" s="9">
        <v>9</v>
      </c>
      <c r="B10" s="11" t="s">
        <v>326</v>
      </c>
      <c r="C10" s="13" t="s">
        <v>146</v>
      </c>
      <c r="D10" s="57">
        <v>4785090663</v>
      </c>
      <c r="E10" s="58">
        <v>58500</v>
      </c>
      <c r="G10" s="61" t="s">
        <v>103</v>
      </c>
      <c r="H10" s="60" t="s">
        <v>121</v>
      </c>
      <c r="I10" s="45">
        <v>17500</v>
      </c>
    </row>
    <row r="11" spans="1:9" ht="12.75">
      <c r="A11" s="9">
        <v>10</v>
      </c>
      <c r="B11" s="11" t="s">
        <v>326</v>
      </c>
      <c r="C11" s="14" t="s">
        <v>150</v>
      </c>
      <c r="D11" s="57">
        <v>30017440875</v>
      </c>
      <c r="E11" s="58">
        <v>58500</v>
      </c>
      <c r="G11" s="60" t="s">
        <v>126</v>
      </c>
      <c r="H11" s="60" t="s">
        <v>127</v>
      </c>
      <c r="I11" s="45">
        <v>8600</v>
      </c>
    </row>
    <row r="12" spans="1:9" ht="12.75">
      <c r="A12" s="9">
        <v>11</v>
      </c>
      <c r="B12" s="11" t="s">
        <v>326</v>
      </c>
      <c r="C12" s="14" t="s">
        <v>158</v>
      </c>
      <c r="D12" s="9" t="s">
        <v>159</v>
      </c>
      <c r="E12" s="58">
        <v>84016</v>
      </c>
      <c r="G12" s="60" t="s">
        <v>123</v>
      </c>
      <c r="H12" s="60" t="s">
        <v>133</v>
      </c>
      <c r="I12" s="45">
        <v>12700</v>
      </c>
    </row>
    <row r="13" spans="1:9" ht="12.75">
      <c r="A13" s="9">
        <v>12</v>
      </c>
      <c r="B13" s="11" t="s">
        <v>326</v>
      </c>
      <c r="C13" s="15" t="s">
        <v>134</v>
      </c>
      <c r="D13" s="9" t="s">
        <v>163</v>
      </c>
      <c r="E13" s="58">
        <v>70700</v>
      </c>
      <c r="G13" s="60" t="s">
        <v>126</v>
      </c>
      <c r="H13" s="60" t="s">
        <v>136</v>
      </c>
      <c r="I13" s="45">
        <v>8600</v>
      </c>
    </row>
    <row r="14" spans="1:9" ht="12.75">
      <c r="A14" s="9">
        <v>13</v>
      </c>
      <c r="B14" s="11" t="s">
        <v>326</v>
      </c>
      <c r="C14" s="15" t="s">
        <v>134</v>
      </c>
      <c r="D14" s="9" t="s">
        <v>165</v>
      </c>
      <c r="E14" s="58">
        <v>70700</v>
      </c>
      <c r="G14" s="61" t="s">
        <v>138</v>
      </c>
      <c r="H14" s="60" t="s">
        <v>139</v>
      </c>
      <c r="I14" s="45">
        <v>45559</v>
      </c>
    </row>
    <row r="15" spans="1:9" ht="12.75">
      <c r="A15" s="9">
        <v>14</v>
      </c>
      <c r="B15" s="11" t="s">
        <v>326</v>
      </c>
      <c r="C15" s="15" t="s">
        <v>134</v>
      </c>
      <c r="D15" s="9" t="s">
        <v>173</v>
      </c>
      <c r="E15" s="58">
        <v>70700</v>
      </c>
      <c r="G15" s="61" t="s">
        <v>336</v>
      </c>
      <c r="H15" s="60" t="s">
        <v>143</v>
      </c>
      <c r="I15" s="45">
        <v>17500</v>
      </c>
    </row>
    <row r="16" spans="1:9" ht="12.75">
      <c r="A16" s="9">
        <v>15</v>
      </c>
      <c r="B16" s="11" t="s">
        <v>326</v>
      </c>
      <c r="C16" s="15" t="s">
        <v>134</v>
      </c>
      <c r="D16" s="9" t="s">
        <v>175</v>
      </c>
      <c r="E16" s="58">
        <v>70700</v>
      </c>
      <c r="G16" s="61" t="s">
        <v>96</v>
      </c>
      <c r="H16" s="60" t="s">
        <v>154</v>
      </c>
      <c r="I16" s="45">
        <v>15500</v>
      </c>
    </row>
    <row r="17" spans="1:9" ht="12.75">
      <c r="A17" s="9">
        <v>16</v>
      </c>
      <c r="B17" s="12" t="s">
        <v>326</v>
      </c>
      <c r="C17" s="12" t="s">
        <v>134</v>
      </c>
      <c r="D17" s="9" t="s">
        <v>181</v>
      </c>
      <c r="E17" s="58">
        <v>70700</v>
      </c>
      <c r="G17" s="61" t="s">
        <v>103</v>
      </c>
      <c r="H17" s="60" t="s">
        <v>162</v>
      </c>
      <c r="I17" s="45">
        <v>17500</v>
      </c>
    </row>
    <row r="18" spans="1:9" ht="12.75">
      <c r="A18" s="9">
        <v>17</v>
      </c>
      <c r="B18" s="16" t="s">
        <v>326</v>
      </c>
      <c r="C18" s="12" t="s">
        <v>134</v>
      </c>
      <c r="D18" s="9" t="s">
        <v>185</v>
      </c>
      <c r="E18" s="58">
        <v>70700</v>
      </c>
      <c r="G18" s="60" t="s">
        <v>129</v>
      </c>
      <c r="H18" s="60" t="s">
        <v>170</v>
      </c>
      <c r="I18" s="45">
        <v>12999</v>
      </c>
    </row>
    <row r="19" spans="1:9" ht="12.75">
      <c r="A19" s="9">
        <v>18</v>
      </c>
      <c r="B19" s="11" t="s">
        <v>326</v>
      </c>
      <c r="C19" s="15" t="s">
        <v>134</v>
      </c>
      <c r="D19" s="9" t="s">
        <v>187</v>
      </c>
      <c r="E19" s="58">
        <v>70700</v>
      </c>
      <c r="G19" s="60" t="s">
        <v>129</v>
      </c>
      <c r="H19" s="60" t="s">
        <v>254</v>
      </c>
      <c r="I19" s="45">
        <v>12999</v>
      </c>
    </row>
    <row r="20" spans="1:9" ht="12.75">
      <c r="A20" s="9">
        <v>19</v>
      </c>
      <c r="B20" s="11" t="s">
        <v>326</v>
      </c>
      <c r="C20" s="15" t="s">
        <v>134</v>
      </c>
      <c r="D20" s="9" t="s">
        <v>191</v>
      </c>
      <c r="E20" s="58">
        <v>70700</v>
      </c>
      <c r="G20" s="61" t="s">
        <v>101</v>
      </c>
      <c r="H20" s="60" t="s">
        <v>255</v>
      </c>
      <c r="I20" s="45">
        <v>12700</v>
      </c>
    </row>
    <row r="21" spans="1:9" ht="12.75">
      <c r="A21" s="9">
        <v>20</v>
      </c>
      <c r="B21" s="11" t="s">
        <v>326</v>
      </c>
      <c r="C21" s="15" t="s">
        <v>134</v>
      </c>
      <c r="D21" s="9" t="s">
        <v>199</v>
      </c>
      <c r="E21" s="58">
        <v>70700</v>
      </c>
      <c r="G21" s="61" t="s">
        <v>96</v>
      </c>
      <c r="H21" s="60" t="s">
        <v>176</v>
      </c>
      <c r="I21" s="45">
        <v>15500</v>
      </c>
    </row>
    <row r="22" spans="1:9" ht="12.75">
      <c r="A22" s="9">
        <v>21</v>
      </c>
      <c r="B22" s="11" t="s">
        <v>326</v>
      </c>
      <c r="C22" s="15" t="s">
        <v>134</v>
      </c>
      <c r="D22" s="9" t="s">
        <v>331</v>
      </c>
      <c r="E22" s="58">
        <v>70700</v>
      </c>
      <c r="G22" s="61" t="s">
        <v>101</v>
      </c>
      <c r="H22" s="60" t="s">
        <v>178</v>
      </c>
      <c r="I22" s="45">
        <v>12700</v>
      </c>
    </row>
    <row r="23" spans="1:9" ht="12.75">
      <c r="A23" s="9">
        <v>22</v>
      </c>
      <c r="B23" s="17" t="s">
        <v>326</v>
      </c>
      <c r="C23" s="13" t="s">
        <v>134</v>
      </c>
      <c r="D23" s="9" t="s">
        <v>201</v>
      </c>
      <c r="E23" s="58">
        <v>70700</v>
      </c>
      <c r="G23" s="61" t="s">
        <v>101</v>
      </c>
      <c r="H23" s="60" t="s">
        <v>180</v>
      </c>
      <c r="I23" s="45">
        <v>12700</v>
      </c>
    </row>
    <row r="24" spans="1:9" ht="12.75">
      <c r="A24" s="9">
        <v>23</v>
      </c>
      <c r="B24" s="17" t="s">
        <v>326</v>
      </c>
      <c r="C24" s="14" t="s">
        <v>203</v>
      </c>
      <c r="D24" s="9" t="s">
        <v>211</v>
      </c>
      <c r="E24" s="58">
        <v>70700</v>
      </c>
      <c r="G24" s="61" t="s">
        <v>96</v>
      </c>
      <c r="H24" s="60" t="s">
        <v>182</v>
      </c>
      <c r="I24" s="45">
        <v>15500</v>
      </c>
    </row>
    <row r="25" spans="1:9" ht="12.75">
      <c r="A25" s="9">
        <v>24</v>
      </c>
      <c r="B25" s="17" t="s">
        <v>326</v>
      </c>
      <c r="C25" s="18" t="s">
        <v>203</v>
      </c>
      <c r="D25" s="9" t="s">
        <v>213</v>
      </c>
      <c r="E25" s="58">
        <v>70700</v>
      </c>
      <c r="G25" s="61" t="s">
        <v>101</v>
      </c>
      <c r="H25" s="60" t="s">
        <v>186</v>
      </c>
      <c r="I25" s="45">
        <v>12700</v>
      </c>
    </row>
    <row r="26" spans="1:9" ht="12.75">
      <c r="A26" s="9">
        <v>25</v>
      </c>
      <c r="B26" s="17" t="s">
        <v>326</v>
      </c>
      <c r="C26" s="18" t="s">
        <v>215</v>
      </c>
      <c r="D26" s="9" t="s">
        <v>220</v>
      </c>
      <c r="E26" s="58">
        <v>70700</v>
      </c>
      <c r="G26" s="61" t="s">
        <v>101</v>
      </c>
      <c r="H26" s="60" t="s">
        <v>192</v>
      </c>
      <c r="I26" s="45">
        <v>12700</v>
      </c>
    </row>
    <row r="27" spans="1:9" ht="12.75">
      <c r="A27" s="9">
        <v>26</v>
      </c>
      <c r="B27" s="16" t="s">
        <v>326</v>
      </c>
      <c r="C27" s="12" t="s">
        <v>215</v>
      </c>
      <c r="D27" s="9" t="s">
        <v>239</v>
      </c>
      <c r="E27" s="58">
        <v>70700</v>
      </c>
      <c r="G27" s="60" t="s">
        <v>129</v>
      </c>
      <c r="H27" s="60" t="s">
        <v>253</v>
      </c>
      <c r="I27" s="45">
        <v>12999</v>
      </c>
    </row>
    <row r="28" spans="1:9" ht="12.75">
      <c r="A28" s="9">
        <v>27</v>
      </c>
      <c r="B28" s="16" t="s">
        <v>326</v>
      </c>
      <c r="C28" s="15" t="s">
        <v>113</v>
      </c>
      <c r="D28" s="9" t="s">
        <v>243</v>
      </c>
      <c r="E28" s="58">
        <v>56000</v>
      </c>
      <c r="G28" s="61" t="s">
        <v>101</v>
      </c>
      <c r="H28" s="60" t="s">
        <v>196</v>
      </c>
      <c r="I28" s="45">
        <v>12700</v>
      </c>
    </row>
    <row r="29" spans="1:9" ht="12.75">
      <c r="A29" s="9">
        <v>28</v>
      </c>
      <c r="B29" s="16" t="s">
        <v>326</v>
      </c>
      <c r="C29" s="19" t="s">
        <v>113</v>
      </c>
      <c r="D29" s="9" t="s">
        <v>128</v>
      </c>
      <c r="E29" s="58">
        <v>56000</v>
      </c>
      <c r="G29" s="61" t="s">
        <v>96</v>
      </c>
      <c r="H29" s="60" t="s">
        <v>337</v>
      </c>
      <c r="I29" s="45">
        <v>15500</v>
      </c>
    </row>
    <row r="30" spans="1:9" ht="12.75">
      <c r="A30" s="9">
        <v>29</v>
      </c>
      <c r="B30" s="16" t="s">
        <v>326</v>
      </c>
      <c r="C30" s="12" t="s">
        <v>113</v>
      </c>
      <c r="D30" s="9" t="s">
        <v>140</v>
      </c>
      <c r="E30" s="58">
        <v>56000</v>
      </c>
      <c r="G30" s="61" t="s">
        <v>96</v>
      </c>
      <c r="H30" s="60" t="s">
        <v>248</v>
      </c>
      <c r="I30" s="45">
        <v>15500</v>
      </c>
    </row>
    <row r="31" spans="1:9" ht="12.75">
      <c r="A31" s="9">
        <v>30</v>
      </c>
      <c r="B31" s="16" t="s">
        <v>326</v>
      </c>
      <c r="C31" s="15" t="s">
        <v>332</v>
      </c>
      <c r="D31" s="9" t="s">
        <v>333</v>
      </c>
      <c r="E31" s="58">
        <v>70700</v>
      </c>
      <c r="G31" s="61" t="s">
        <v>244</v>
      </c>
      <c r="H31" s="60" t="s">
        <v>249</v>
      </c>
      <c r="I31" s="62">
        <v>13656.48</v>
      </c>
    </row>
    <row r="32" spans="1:9" ht="15.75" customHeight="1">
      <c r="D32" s="41" t="s">
        <v>397</v>
      </c>
      <c r="E32" s="130">
        <f>SUM(E2:E31)</f>
        <v>2056196</v>
      </c>
      <c r="G32" s="61" t="s">
        <v>156</v>
      </c>
      <c r="H32" s="60" t="s">
        <v>338</v>
      </c>
      <c r="I32" s="45">
        <v>15500</v>
      </c>
    </row>
    <row r="33" spans="7:9" ht="15.75" customHeight="1">
      <c r="G33" s="61" t="s">
        <v>103</v>
      </c>
      <c r="H33" s="60" t="s">
        <v>233</v>
      </c>
      <c r="I33" s="45">
        <v>17500</v>
      </c>
    </row>
    <row r="34" spans="7:9" ht="15.75" customHeight="1">
      <c r="G34" s="61" t="s">
        <v>156</v>
      </c>
      <c r="H34" s="60" t="s">
        <v>256</v>
      </c>
      <c r="I34" s="45">
        <v>15500</v>
      </c>
    </row>
    <row r="35" spans="7:9" ht="15.75" customHeight="1">
      <c r="H35" s="41" t="s">
        <v>396</v>
      </c>
      <c r="I35" s="131">
        <f>SUM(I3:I34)</f>
        <v>492668.95999999996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D34C-21F4-4385-B219-7C06E7461275}">
  <dimension ref="A1:J76"/>
  <sheetViews>
    <sheetView topLeftCell="A52" workbookViewId="0">
      <selection activeCell="H82" sqref="H82"/>
    </sheetView>
  </sheetViews>
  <sheetFormatPr defaultRowHeight="15"/>
  <cols>
    <col min="2" max="2" width="17.85546875" customWidth="1"/>
    <col min="3" max="3" width="45.28515625" customWidth="1"/>
    <col min="4" max="4" width="24.85546875" customWidth="1"/>
    <col min="5" max="5" width="12.5703125"/>
    <col min="8" max="8" width="18.85546875" customWidth="1"/>
    <col min="9" max="9" width="35.28515625" customWidth="1"/>
    <col min="10" max="10" width="13.85546875" customWidth="1"/>
  </cols>
  <sheetData>
    <row r="1" spans="1:10">
      <c r="A1" s="63"/>
      <c r="B1" s="42" t="s">
        <v>92</v>
      </c>
      <c r="C1" s="42" t="s">
        <v>3</v>
      </c>
      <c r="D1" s="43" t="s">
        <v>366</v>
      </c>
      <c r="E1" s="43" t="s">
        <v>4</v>
      </c>
      <c r="F1" s="113"/>
      <c r="H1" s="59" t="s">
        <v>334</v>
      </c>
      <c r="I1" s="59" t="s">
        <v>335</v>
      </c>
      <c r="J1" s="43" t="s">
        <v>4</v>
      </c>
    </row>
    <row r="2" spans="1:10">
      <c r="A2" s="63">
        <v>1</v>
      </c>
      <c r="B2" s="54" t="s">
        <v>326</v>
      </c>
      <c r="C2" s="54" t="s">
        <v>98</v>
      </c>
      <c r="D2" s="54" t="s">
        <v>99</v>
      </c>
      <c r="E2" s="45">
        <v>109900</v>
      </c>
      <c r="F2" s="74"/>
      <c r="H2" s="64" t="s">
        <v>96</v>
      </c>
      <c r="I2" s="65" t="s">
        <v>367</v>
      </c>
      <c r="J2" s="45">
        <v>15500</v>
      </c>
    </row>
    <row r="3" spans="1:10">
      <c r="A3" s="63">
        <v>2</v>
      </c>
      <c r="B3" s="54" t="s">
        <v>326</v>
      </c>
      <c r="C3" s="55" t="s">
        <v>215</v>
      </c>
      <c r="D3" s="55" t="s">
        <v>241</v>
      </c>
      <c r="E3" s="45">
        <v>64500</v>
      </c>
      <c r="F3" s="74"/>
      <c r="H3" s="61" t="s">
        <v>96</v>
      </c>
      <c r="I3" s="60" t="s">
        <v>97</v>
      </c>
      <c r="J3" s="45">
        <v>15500</v>
      </c>
    </row>
    <row r="4" spans="1:10">
      <c r="A4" s="63">
        <v>3</v>
      </c>
      <c r="B4" s="54" t="s">
        <v>326</v>
      </c>
      <c r="C4" s="54" t="s">
        <v>339</v>
      </c>
      <c r="D4" s="54" t="s">
        <v>340</v>
      </c>
      <c r="E4" s="45">
        <v>98000</v>
      </c>
      <c r="F4" s="74"/>
      <c r="H4" s="61" t="s">
        <v>96</v>
      </c>
      <c r="I4" s="60" t="s">
        <v>100</v>
      </c>
      <c r="J4" s="45">
        <v>12700</v>
      </c>
    </row>
    <row r="5" spans="1:10">
      <c r="A5" s="63">
        <v>4</v>
      </c>
      <c r="B5" s="54" t="s">
        <v>326</v>
      </c>
      <c r="C5" s="54" t="s">
        <v>341</v>
      </c>
      <c r="D5" s="54" t="s">
        <v>342</v>
      </c>
      <c r="E5" s="45">
        <v>64500</v>
      </c>
      <c r="F5" s="74"/>
      <c r="H5" s="61" t="s">
        <v>101</v>
      </c>
      <c r="I5" s="60" t="s">
        <v>102</v>
      </c>
      <c r="J5" s="45">
        <v>12700</v>
      </c>
    </row>
    <row r="6" spans="1:10">
      <c r="A6" s="63">
        <v>5</v>
      </c>
      <c r="B6" s="54" t="s">
        <v>326</v>
      </c>
      <c r="C6" s="54" t="s">
        <v>113</v>
      </c>
      <c r="D6" s="54" t="s">
        <v>116</v>
      </c>
      <c r="E6" s="45">
        <v>56000</v>
      </c>
      <c r="F6" s="74"/>
      <c r="H6" s="61" t="s">
        <v>96</v>
      </c>
      <c r="I6" s="60" t="s">
        <v>242</v>
      </c>
      <c r="J6" s="45">
        <v>12700</v>
      </c>
    </row>
    <row r="7" spans="1:10">
      <c r="A7" s="63">
        <v>6</v>
      </c>
      <c r="B7" s="54" t="s">
        <v>326</v>
      </c>
      <c r="C7" s="54" t="s">
        <v>113</v>
      </c>
      <c r="D7" s="55" t="s">
        <v>120</v>
      </c>
      <c r="E7" s="45">
        <v>56000</v>
      </c>
      <c r="F7" s="74"/>
      <c r="H7" s="61" t="s">
        <v>101</v>
      </c>
      <c r="I7" s="60" t="s">
        <v>105</v>
      </c>
      <c r="J7" s="45">
        <v>12700</v>
      </c>
    </row>
    <row r="8" spans="1:10">
      <c r="A8" s="63">
        <v>7</v>
      </c>
      <c r="B8" s="54" t="s">
        <v>326</v>
      </c>
      <c r="C8" s="54" t="s">
        <v>113</v>
      </c>
      <c r="D8" s="55" t="s">
        <v>125</v>
      </c>
      <c r="E8" s="45">
        <v>56000</v>
      </c>
      <c r="F8" s="74"/>
      <c r="H8" s="61" t="s">
        <v>108</v>
      </c>
      <c r="I8" s="60" t="s">
        <v>109</v>
      </c>
      <c r="J8" s="45">
        <v>12700</v>
      </c>
    </row>
    <row r="9" spans="1:10">
      <c r="A9" s="63">
        <v>8</v>
      </c>
      <c r="B9" s="54" t="s">
        <v>326</v>
      </c>
      <c r="C9" s="55" t="s">
        <v>131</v>
      </c>
      <c r="D9" s="55" t="s">
        <v>132</v>
      </c>
      <c r="E9" s="45">
        <v>84016</v>
      </c>
      <c r="F9" s="74"/>
      <c r="H9" s="61" t="s">
        <v>110</v>
      </c>
      <c r="I9" s="65" t="s">
        <v>111</v>
      </c>
      <c r="J9" s="45">
        <v>45878</v>
      </c>
    </row>
    <row r="10" spans="1:10">
      <c r="A10" s="63">
        <v>9</v>
      </c>
      <c r="B10" s="54" t="s">
        <v>326</v>
      </c>
      <c r="C10" s="55" t="s">
        <v>134</v>
      </c>
      <c r="D10" s="55" t="s">
        <v>135</v>
      </c>
      <c r="E10" s="45">
        <v>64500</v>
      </c>
      <c r="F10" s="74"/>
      <c r="H10" s="61" t="s">
        <v>101</v>
      </c>
      <c r="I10" s="60" t="s">
        <v>112</v>
      </c>
      <c r="J10" s="45">
        <v>12700</v>
      </c>
    </row>
    <row r="11" spans="1:10">
      <c r="A11" s="63">
        <v>10</v>
      </c>
      <c r="B11" s="54" t="s">
        <v>326</v>
      </c>
      <c r="C11" s="54" t="s">
        <v>113</v>
      </c>
      <c r="D11" s="55" t="s">
        <v>137</v>
      </c>
      <c r="E11" s="45">
        <v>56000</v>
      </c>
      <c r="F11" s="74"/>
      <c r="H11" s="61" t="s">
        <v>101</v>
      </c>
      <c r="I11" s="60" t="s">
        <v>115</v>
      </c>
      <c r="J11" s="45">
        <v>12700</v>
      </c>
    </row>
    <row r="12" spans="1:10">
      <c r="A12" s="63">
        <v>11</v>
      </c>
      <c r="B12" s="54" t="s">
        <v>326</v>
      </c>
      <c r="C12" s="56" t="s">
        <v>148</v>
      </c>
      <c r="D12" s="54">
        <v>11273493927</v>
      </c>
      <c r="E12" s="45">
        <v>58500</v>
      </c>
      <c r="F12" s="74"/>
      <c r="H12" s="61" t="s">
        <v>96</v>
      </c>
      <c r="I12" s="60" t="s">
        <v>117</v>
      </c>
      <c r="J12" s="45">
        <v>15500</v>
      </c>
    </row>
    <row r="13" spans="1:10">
      <c r="A13" s="63">
        <v>12</v>
      </c>
      <c r="B13" s="54" t="s">
        <v>326</v>
      </c>
      <c r="C13" s="56" t="s">
        <v>150</v>
      </c>
      <c r="D13" s="55">
        <v>34189607019</v>
      </c>
      <c r="E13" s="45">
        <v>58500</v>
      </c>
      <c r="F13" s="74"/>
      <c r="H13" s="61" t="s">
        <v>96</v>
      </c>
      <c r="I13" s="60" t="s">
        <v>119</v>
      </c>
      <c r="J13" s="45">
        <v>15500</v>
      </c>
    </row>
    <row r="14" spans="1:10">
      <c r="A14" s="63">
        <v>13</v>
      </c>
      <c r="B14" s="54" t="s">
        <v>326</v>
      </c>
      <c r="C14" s="55" t="s">
        <v>134</v>
      </c>
      <c r="D14" s="55" t="s">
        <v>153</v>
      </c>
      <c r="E14" s="45">
        <v>64500</v>
      </c>
      <c r="F14" s="74"/>
      <c r="H14" s="61" t="s">
        <v>96</v>
      </c>
      <c r="I14" s="60" t="s">
        <v>368</v>
      </c>
      <c r="J14" s="66">
        <v>13656.48</v>
      </c>
    </row>
    <row r="15" spans="1:10">
      <c r="A15" s="63">
        <v>14</v>
      </c>
      <c r="B15" s="54" t="s">
        <v>326</v>
      </c>
      <c r="C15" s="55" t="s">
        <v>134</v>
      </c>
      <c r="D15" s="55" t="s">
        <v>155</v>
      </c>
      <c r="E15" s="45">
        <v>64500</v>
      </c>
      <c r="F15" s="74"/>
      <c r="H15" s="61" t="s">
        <v>123</v>
      </c>
      <c r="I15" s="60" t="s">
        <v>124</v>
      </c>
      <c r="J15" s="45">
        <v>12700</v>
      </c>
    </row>
    <row r="16" spans="1:10">
      <c r="A16" s="63">
        <v>15</v>
      </c>
      <c r="B16" s="54" t="s">
        <v>326</v>
      </c>
      <c r="C16" s="55" t="s">
        <v>134</v>
      </c>
      <c r="D16" s="55" t="s">
        <v>161</v>
      </c>
      <c r="E16" s="45">
        <v>64500</v>
      </c>
      <c r="F16" s="74"/>
      <c r="H16" s="61" t="s">
        <v>129</v>
      </c>
      <c r="I16" s="60" t="s">
        <v>130</v>
      </c>
      <c r="J16" s="45">
        <v>15500</v>
      </c>
    </row>
    <row r="17" spans="1:10">
      <c r="A17" s="63">
        <v>16</v>
      </c>
      <c r="B17" s="54" t="s">
        <v>326</v>
      </c>
      <c r="C17" s="55" t="s">
        <v>134</v>
      </c>
      <c r="D17" s="55" t="s">
        <v>167</v>
      </c>
      <c r="E17" s="45">
        <v>64500</v>
      </c>
      <c r="F17" s="74"/>
      <c r="H17" s="61" t="s">
        <v>123</v>
      </c>
      <c r="I17" s="60" t="s">
        <v>141</v>
      </c>
      <c r="J17" s="45">
        <v>12700</v>
      </c>
    </row>
    <row r="18" spans="1:10">
      <c r="A18" s="63">
        <v>17</v>
      </c>
      <c r="B18" s="54" t="s">
        <v>326</v>
      </c>
      <c r="C18" s="55" t="s">
        <v>134</v>
      </c>
      <c r="D18" s="55" t="s">
        <v>169</v>
      </c>
      <c r="E18" s="45">
        <v>64500</v>
      </c>
      <c r="F18" s="74"/>
      <c r="H18" s="67" t="s">
        <v>96</v>
      </c>
      <c r="I18" s="60" t="s">
        <v>145</v>
      </c>
      <c r="J18" s="45">
        <v>15500</v>
      </c>
    </row>
    <row r="19" spans="1:10">
      <c r="A19" s="63">
        <v>18</v>
      </c>
      <c r="B19" s="54" t="s">
        <v>326</v>
      </c>
      <c r="C19" s="55" t="s">
        <v>134</v>
      </c>
      <c r="D19" s="55" t="s">
        <v>171</v>
      </c>
      <c r="E19" s="45">
        <v>64500</v>
      </c>
      <c r="F19" s="74"/>
      <c r="H19" s="60" t="s">
        <v>123</v>
      </c>
      <c r="I19" s="60" t="s">
        <v>147</v>
      </c>
      <c r="J19" s="45">
        <v>12700</v>
      </c>
    </row>
    <row r="20" spans="1:10">
      <c r="A20" s="63">
        <v>19</v>
      </c>
      <c r="B20" s="54" t="s">
        <v>326</v>
      </c>
      <c r="C20" s="55" t="s">
        <v>134</v>
      </c>
      <c r="D20" s="55" t="s">
        <v>177</v>
      </c>
      <c r="E20" s="45">
        <v>64500</v>
      </c>
      <c r="F20" s="74"/>
      <c r="H20" s="60" t="s">
        <v>129</v>
      </c>
      <c r="I20" s="60" t="s">
        <v>149</v>
      </c>
      <c r="J20" s="45">
        <v>12700</v>
      </c>
    </row>
    <row r="21" spans="1:10">
      <c r="A21" s="63">
        <v>20</v>
      </c>
      <c r="B21" s="54" t="s">
        <v>326</v>
      </c>
      <c r="C21" s="55" t="s">
        <v>134</v>
      </c>
      <c r="D21" s="55" t="s">
        <v>179</v>
      </c>
      <c r="E21" s="45">
        <v>64500</v>
      </c>
      <c r="F21" s="74"/>
      <c r="H21" s="60" t="s">
        <v>129</v>
      </c>
      <c r="I21" s="60" t="s">
        <v>151</v>
      </c>
      <c r="J21" s="45">
        <v>12700</v>
      </c>
    </row>
    <row r="22" spans="1:10">
      <c r="A22" s="63">
        <v>21</v>
      </c>
      <c r="B22" s="54" t="s">
        <v>326</v>
      </c>
      <c r="C22" s="55" t="s">
        <v>134</v>
      </c>
      <c r="D22" s="55" t="s">
        <v>183</v>
      </c>
      <c r="E22" s="45">
        <v>64500</v>
      </c>
      <c r="F22" s="74"/>
      <c r="H22" s="61" t="s">
        <v>123</v>
      </c>
      <c r="I22" s="60" t="s">
        <v>152</v>
      </c>
      <c r="J22" s="45">
        <v>12700</v>
      </c>
    </row>
    <row r="23" spans="1:10">
      <c r="A23" s="63">
        <v>22</v>
      </c>
      <c r="B23" s="54" t="s">
        <v>326</v>
      </c>
      <c r="C23" s="55" t="s">
        <v>134</v>
      </c>
      <c r="D23" s="55" t="s">
        <v>189</v>
      </c>
      <c r="E23" s="45">
        <v>64500</v>
      </c>
      <c r="F23" s="74"/>
      <c r="H23" s="61" t="s">
        <v>156</v>
      </c>
      <c r="I23" s="60" t="s">
        <v>157</v>
      </c>
      <c r="J23" s="45">
        <v>15500</v>
      </c>
    </row>
    <row r="24" spans="1:10">
      <c r="A24" s="63">
        <v>23</v>
      </c>
      <c r="B24" s="54" t="s">
        <v>326</v>
      </c>
      <c r="C24" s="55" t="s">
        <v>134</v>
      </c>
      <c r="D24" s="55" t="s">
        <v>193</v>
      </c>
      <c r="E24" s="45">
        <v>64500</v>
      </c>
      <c r="F24" s="74"/>
      <c r="H24" s="61" t="s">
        <v>156</v>
      </c>
      <c r="I24" s="60" t="s">
        <v>160</v>
      </c>
      <c r="J24" s="45">
        <v>15500</v>
      </c>
    </row>
    <row r="25" spans="1:10">
      <c r="A25" s="63">
        <v>24</v>
      </c>
      <c r="B25" s="54" t="s">
        <v>326</v>
      </c>
      <c r="C25" s="55" t="s">
        <v>134</v>
      </c>
      <c r="D25" s="55" t="s">
        <v>195</v>
      </c>
      <c r="E25" s="45">
        <v>64500</v>
      </c>
      <c r="F25" s="74"/>
      <c r="H25" s="61" t="s">
        <v>108</v>
      </c>
      <c r="I25" s="60" t="s">
        <v>164</v>
      </c>
      <c r="J25" s="45">
        <v>12700</v>
      </c>
    </row>
    <row r="26" spans="1:10">
      <c r="A26" s="63">
        <v>25</v>
      </c>
      <c r="B26" s="54" t="s">
        <v>326</v>
      </c>
      <c r="C26" s="55" t="s">
        <v>134</v>
      </c>
      <c r="D26" s="55" t="s">
        <v>197</v>
      </c>
      <c r="E26" s="45">
        <v>64500</v>
      </c>
      <c r="F26" s="74"/>
      <c r="H26" s="61" t="s">
        <v>101</v>
      </c>
      <c r="I26" s="60" t="s">
        <v>166</v>
      </c>
      <c r="J26" s="45">
        <v>12700</v>
      </c>
    </row>
    <row r="27" spans="1:10">
      <c r="A27" s="63">
        <v>26</v>
      </c>
      <c r="B27" s="54" t="s">
        <v>326</v>
      </c>
      <c r="C27" s="55" t="s">
        <v>203</v>
      </c>
      <c r="D27" s="55" t="s">
        <v>204</v>
      </c>
      <c r="E27" s="45">
        <v>64500</v>
      </c>
      <c r="F27" s="74"/>
      <c r="H27" s="61" t="s">
        <v>96</v>
      </c>
      <c r="I27" s="60" t="s">
        <v>168</v>
      </c>
      <c r="J27" s="45">
        <v>15500</v>
      </c>
    </row>
    <row r="28" spans="1:10">
      <c r="A28" s="63">
        <v>27</v>
      </c>
      <c r="B28" s="54" t="s">
        <v>326</v>
      </c>
      <c r="C28" s="55" t="s">
        <v>203</v>
      </c>
      <c r="D28" s="55" t="s">
        <v>206</v>
      </c>
      <c r="E28" s="45">
        <v>64500</v>
      </c>
      <c r="F28" s="74"/>
      <c r="H28" s="61" t="s">
        <v>123</v>
      </c>
      <c r="I28" s="60" t="s">
        <v>172</v>
      </c>
      <c r="J28" s="45">
        <v>12700</v>
      </c>
    </row>
    <row r="29" spans="1:10">
      <c r="A29" s="63">
        <v>28</v>
      </c>
      <c r="B29" s="54" t="s">
        <v>326</v>
      </c>
      <c r="C29" s="55" t="s">
        <v>203</v>
      </c>
      <c r="D29" s="55" t="s">
        <v>209</v>
      </c>
      <c r="E29" s="45">
        <v>64500</v>
      </c>
      <c r="F29" s="74"/>
      <c r="H29" s="61" t="s">
        <v>101</v>
      </c>
      <c r="I29" s="60" t="s">
        <v>174</v>
      </c>
      <c r="J29" s="45">
        <v>12700</v>
      </c>
    </row>
    <row r="30" spans="1:10">
      <c r="A30" s="63">
        <v>29</v>
      </c>
      <c r="B30" s="54" t="s">
        <v>326</v>
      </c>
      <c r="C30" s="55" t="s">
        <v>215</v>
      </c>
      <c r="D30" s="55" t="s">
        <v>216</v>
      </c>
      <c r="E30" s="45">
        <v>64500</v>
      </c>
      <c r="F30" s="74"/>
      <c r="H30" s="61" t="s">
        <v>101</v>
      </c>
      <c r="I30" s="60" t="s">
        <v>184</v>
      </c>
      <c r="J30" s="45">
        <v>12700</v>
      </c>
    </row>
    <row r="31" spans="1:10">
      <c r="A31" s="63">
        <v>30</v>
      </c>
      <c r="B31" s="54" t="s">
        <v>326</v>
      </c>
      <c r="C31" s="55" t="s">
        <v>215</v>
      </c>
      <c r="D31" s="55" t="s">
        <v>218</v>
      </c>
      <c r="E31" s="45">
        <v>64500</v>
      </c>
      <c r="F31" s="74"/>
      <c r="H31" s="61" t="s">
        <v>101</v>
      </c>
      <c r="I31" s="60" t="s">
        <v>188</v>
      </c>
      <c r="J31" s="45">
        <v>12700</v>
      </c>
    </row>
    <row r="32" spans="1:10">
      <c r="A32" s="63">
        <v>31</v>
      </c>
      <c r="B32" s="54" t="s">
        <v>326</v>
      </c>
      <c r="C32" s="55" t="s">
        <v>215</v>
      </c>
      <c r="D32" s="55" t="s">
        <v>221</v>
      </c>
      <c r="E32" s="45">
        <v>64500</v>
      </c>
      <c r="F32" s="74"/>
      <c r="H32" s="61" t="s">
        <v>156</v>
      </c>
      <c r="I32" s="60" t="s">
        <v>190</v>
      </c>
      <c r="J32" s="45">
        <v>12700</v>
      </c>
    </row>
    <row r="33" spans="1:10">
      <c r="A33" s="63">
        <v>32</v>
      </c>
      <c r="B33" s="54" t="s">
        <v>326</v>
      </c>
      <c r="C33" s="55" t="s">
        <v>215</v>
      </c>
      <c r="D33" s="55" t="s">
        <v>222</v>
      </c>
      <c r="E33" s="45">
        <v>64500</v>
      </c>
      <c r="F33" s="74"/>
      <c r="H33" s="61" t="s">
        <v>101</v>
      </c>
      <c r="I33" s="60" t="s">
        <v>194</v>
      </c>
      <c r="J33" s="45">
        <v>12700</v>
      </c>
    </row>
    <row r="34" spans="1:10">
      <c r="A34" s="63">
        <v>33</v>
      </c>
      <c r="B34" s="54" t="s">
        <v>326</v>
      </c>
      <c r="C34" s="55" t="s">
        <v>215</v>
      </c>
      <c r="D34" s="55" t="s">
        <v>224</v>
      </c>
      <c r="E34" s="45">
        <v>64500</v>
      </c>
      <c r="F34" s="74"/>
      <c r="H34" s="61" t="s">
        <v>129</v>
      </c>
      <c r="I34" s="60" t="s">
        <v>240</v>
      </c>
      <c r="J34" s="45">
        <v>12700</v>
      </c>
    </row>
    <row r="35" spans="1:10">
      <c r="A35" s="63">
        <v>34</v>
      </c>
      <c r="B35" s="54" t="s">
        <v>326</v>
      </c>
      <c r="C35" s="54" t="s">
        <v>113</v>
      </c>
      <c r="D35" s="55" t="s">
        <v>226</v>
      </c>
      <c r="E35" s="45">
        <v>56000</v>
      </c>
      <c r="F35" s="74"/>
      <c r="H35" s="61" t="s">
        <v>96</v>
      </c>
      <c r="I35" s="60" t="s">
        <v>198</v>
      </c>
      <c r="J35" s="45">
        <v>15500</v>
      </c>
    </row>
    <row r="36" spans="1:10">
      <c r="A36" s="63">
        <v>35</v>
      </c>
      <c r="B36" s="54" t="s">
        <v>326</v>
      </c>
      <c r="C36" s="54" t="s">
        <v>113</v>
      </c>
      <c r="D36" s="55" t="s">
        <v>228</v>
      </c>
      <c r="E36" s="45">
        <v>56000</v>
      </c>
      <c r="F36" s="74"/>
      <c r="H36" s="60" t="s">
        <v>123</v>
      </c>
      <c r="I36" s="60" t="s">
        <v>236</v>
      </c>
      <c r="J36" s="45">
        <v>12700</v>
      </c>
    </row>
    <row r="37" spans="1:10">
      <c r="A37" s="63">
        <v>36</v>
      </c>
      <c r="B37" s="54" t="s">
        <v>326</v>
      </c>
      <c r="C37" s="55" t="s">
        <v>134</v>
      </c>
      <c r="D37" s="55" t="s">
        <v>230</v>
      </c>
      <c r="E37" s="45">
        <v>70700</v>
      </c>
      <c r="F37" s="74"/>
      <c r="H37" s="60"/>
      <c r="I37" s="60"/>
      <c r="J37" s="63"/>
    </row>
    <row r="38" spans="1:10">
      <c r="A38" s="63">
        <v>37</v>
      </c>
      <c r="B38" s="54" t="s">
        <v>326</v>
      </c>
      <c r="C38" s="54" t="s">
        <v>113</v>
      </c>
      <c r="D38" s="54" t="s">
        <v>232</v>
      </c>
      <c r="E38" s="45">
        <v>56000</v>
      </c>
      <c r="F38" s="74"/>
      <c r="H38" s="61" t="s">
        <v>96</v>
      </c>
      <c r="I38" s="60" t="s">
        <v>200</v>
      </c>
      <c r="J38" s="45">
        <v>15500</v>
      </c>
    </row>
    <row r="39" spans="1:10">
      <c r="A39" s="63">
        <v>38</v>
      </c>
      <c r="B39" s="54" t="s">
        <v>326</v>
      </c>
      <c r="C39" s="56" t="s">
        <v>234</v>
      </c>
      <c r="D39" s="54" t="s">
        <v>235</v>
      </c>
      <c r="E39" s="45">
        <v>58500</v>
      </c>
      <c r="F39" s="74"/>
      <c r="H39" s="61" t="s">
        <v>96</v>
      </c>
      <c r="I39" s="60" t="s">
        <v>202</v>
      </c>
      <c r="J39" s="45">
        <v>15500</v>
      </c>
    </row>
    <row r="40" spans="1:10">
      <c r="A40" s="63">
        <v>39</v>
      </c>
      <c r="B40" s="54" t="s">
        <v>326</v>
      </c>
      <c r="C40" s="55" t="s">
        <v>215</v>
      </c>
      <c r="D40" s="55" t="s">
        <v>237</v>
      </c>
      <c r="E40" s="45">
        <v>70700</v>
      </c>
      <c r="F40" s="74"/>
      <c r="H40" s="61" t="s">
        <v>96</v>
      </c>
      <c r="I40" s="60" t="s">
        <v>205</v>
      </c>
      <c r="J40" s="45">
        <v>15500</v>
      </c>
    </row>
    <row r="41" spans="1:10">
      <c r="A41" s="63">
        <v>40</v>
      </c>
      <c r="B41" s="54" t="s">
        <v>326</v>
      </c>
      <c r="C41" s="54" t="s">
        <v>113</v>
      </c>
      <c r="D41" s="55" t="s">
        <v>246</v>
      </c>
      <c r="E41" s="45">
        <v>56000</v>
      </c>
      <c r="F41" s="74"/>
      <c r="H41" s="61" t="s">
        <v>207</v>
      </c>
      <c r="I41" s="60" t="s">
        <v>208</v>
      </c>
      <c r="J41" s="45">
        <v>15500</v>
      </c>
    </row>
    <row r="42" spans="1:10">
      <c r="A42" s="63">
        <v>41</v>
      </c>
      <c r="B42" s="54" t="s">
        <v>326</v>
      </c>
      <c r="C42" s="55" t="s">
        <v>332</v>
      </c>
      <c r="D42" s="55" t="s">
        <v>343</v>
      </c>
      <c r="E42" s="45">
        <v>70700</v>
      </c>
      <c r="F42" s="74"/>
      <c r="H42" s="61" t="s">
        <v>96</v>
      </c>
      <c r="I42" s="60" t="s">
        <v>210</v>
      </c>
      <c r="J42" s="45">
        <v>15500</v>
      </c>
    </row>
    <row r="43" spans="1:10">
      <c r="A43" s="63">
        <v>42</v>
      </c>
      <c r="B43" s="54" t="s">
        <v>326</v>
      </c>
      <c r="C43" s="55" t="s">
        <v>332</v>
      </c>
      <c r="D43" s="55" t="s">
        <v>344</v>
      </c>
      <c r="E43" s="45">
        <v>70700</v>
      </c>
      <c r="F43" s="74"/>
      <c r="H43" s="61" t="s">
        <v>96</v>
      </c>
      <c r="I43" s="60" t="s">
        <v>212</v>
      </c>
      <c r="J43" s="45">
        <v>15500</v>
      </c>
    </row>
    <row r="44" spans="1:10">
      <c r="A44" s="63">
        <v>43</v>
      </c>
      <c r="B44" s="54" t="s">
        <v>326</v>
      </c>
      <c r="C44" s="55" t="s">
        <v>332</v>
      </c>
      <c r="D44" s="55" t="s">
        <v>345</v>
      </c>
      <c r="E44" s="45">
        <v>70700</v>
      </c>
      <c r="F44" s="74"/>
      <c r="H44" s="61" t="s">
        <v>96</v>
      </c>
      <c r="I44" s="60" t="s">
        <v>214</v>
      </c>
      <c r="J44" s="45">
        <v>15500</v>
      </c>
    </row>
    <row r="45" spans="1:10">
      <c r="A45" s="63">
        <v>44</v>
      </c>
      <c r="B45" s="54" t="s">
        <v>326</v>
      </c>
      <c r="C45" s="55" t="s">
        <v>332</v>
      </c>
      <c r="D45" s="55" t="s">
        <v>346</v>
      </c>
      <c r="E45" s="45">
        <v>70700</v>
      </c>
      <c r="F45" s="74"/>
      <c r="H45" s="61" t="s">
        <v>96</v>
      </c>
      <c r="I45" s="60" t="s">
        <v>369</v>
      </c>
      <c r="J45" s="45">
        <v>15500</v>
      </c>
    </row>
    <row r="46" spans="1:10">
      <c r="A46" s="63">
        <v>45</v>
      </c>
      <c r="B46" s="54" t="s">
        <v>326</v>
      </c>
      <c r="C46" s="55" t="s">
        <v>332</v>
      </c>
      <c r="D46" s="55" t="s">
        <v>347</v>
      </c>
      <c r="E46" s="45">
        <v>70700</v>
      </c>
      <c r="F46" s="74"/>
      <c r="H46" s="61" t="s">
        <v>96</v>
      </c>
      <c r="I46" s="60" t="s">
        <v>370</v>
      </c>
      <c r="J46" s="45">
        <v>15500</v>
      </c>
    </row>
    <row r="47" spans="1:10">
      <c r="A47" s="63">
        <v>46</v>
      </c>
      <c r="B47" s="54" t="s">
        <v>326</v>
      </c>
      <c r="C47" s="55" t="s">
        <v>332</v>
      </c>
      <c r="D47" s="55" t="s">
        <v>348</v>
      </c>
      <c r="E47" s="45">
        <v>70700</v>
      </c>
      <c r="F47" s="74"/>
      <c r="H47" s="61" t="s">
        <v>96</v>
      </c>
      <c r="I47" s="60" t="s">
        <v>371</v>
      </c>
      <c r="J47" s="45">
        <v>15500</v>
      </c>
    </row>
    <row r="48" spans="1:10">
      <c r="A48" s="63">
        <v>47</v>
      </c>
      <c r="B48" s="54" t="s">
        <v>326</v>
      </c>
      <c r="C48" s="55" t="s">
        <v>332</v>
      </c>
      <c r="D48" s="55" t="s">
        <v>349</v>
      </c>
      <c r="E48" s="45">
        <v>70700</v>
      </c>
      <c r="F48" s="74"/>
      <c r="H48" s="61" t="s">
        <v>96</v>
      </c>
      <c r="I48" s="60" t="s">
        <v>372</v>
      </c>
      <c r="J48" s="45">
        <v>15500</v>
      </c>
    </row>
    <row r="49" spans="1:10">
      <c r="A49" s="63">
        <v>48</v>
      </c>
      <c r="B49" s="54" t="s">
        <v>326</v>
      </c>
      <c r="C49" s="55" t="s">
        <v>332</v>
      </c>
      <c r="D49" s="55" t="s">
        <v>350</v>
      </c>
      <c r="E49" s="45">
        <v>70700</v>
      </c>
      <c r="F49" s="74"/>
      <c r="H49" s="61" t="s">
        <v>96</v>
      </c>
      <c r="I49" s="60" t="s">
        <v>373</v>
      </c>
      <c r="J49" s="45">
        <v>15500</v>
      </c>
    </row>
    <row r="50" spans="1:10">
      <c r="A50" s="63">
        <v>49</v>
      </c>
      <c r="B50" s="54" t="s">
        <v>326</v>
      </c>
      <c r="C50" s="55" t="s">
        <v>332</v>
      </c>
      <c r="D50" s="55" t="s">
        <v>351</v>
      </c>
      <c r="E50" s="45">
        <v>70700</v>
      </c>
      <c r="F50" s="74"/>
      <c r="H50" s="61" t="s">
        <v>96</v>
      </c>
      <c r="I50" s="60" t="s">
        <v>374</v>
      </c>
      <c r="J50" s="45">
        <v>15500</v>
      </c>
    </row>
    <row r="51" spans="1:10">
      <c r="A51" s="63">
        <v>50</v>
      </c>
      <c r="B51" s="54" t="s">
        <v>326</v>
      </c>
      <c r="C51" s="55" t="s">
        <v>332</v>
      </c>
      <c r="D51" s="55" t="s">
        <v>352</v>
      </c>
      <c r="E51" s="45">
        <v>70700</v>
      </c>
      <c r="F51" s="74"/>
      <c r="H51" s="61" t="s">
        <v>96</v>
      </c>
      <c r="I51" s="60" t="s">
        <v>375</v>
      </c>
      <c r="J51" s="45">
        <v>15500</v>
      </c>
    </row>
    <row r="52" spans="1:10">
      <c r="A52" s="63">
        <v>51</v>
      </c>
      <c r="B52" s="54" t="s">
        <v>326</v>
      </c>
      <c r="C52" s="55" t="s">
        <v>332</v>
      </c>
      <c r="D52" s="55" t="s">
        <v>353</v>
      </c>
      <c r="E52" s="45">
        <v>70700</v>
      </c>
      <c r="F52" s="74"/>
      <c r="H52" s="61" t="s">
        <v>96</v>
      </c>
      <c r="I52" s="60" t="s">
        <v>376</v>
      </c>
      <c r="J52" s="45">
        <v>15500</v>
      </c>
    </row>
    <row r="53" spans="1:10">
      <c r="A53" s="63">
        <v>52</v>
      </c>
      <c r="B53" s="54" t="s">
        <v>326</v>
      </c>
      <c r="C53" s="55" t="s">
        <v>332</v>
      </c>
      <c r="D53" s="55" t="s">
        <v>354</v>
      </c>
      <c r="E53" s="45">
        <v>70700</v>
      </c>
      <c r="F53" s="74"/>
      <c r="H53" s="61" t="s">
        <v>96</v>
      </c>
      <c r="I53" s="60" t="s">
        <v>377</v>
      </c>
      <c r="J53" s="45">
        <v>15500</v>
      </c>
    </row>
    <row r="54" spans="1:10">
      <c r="A54" s="63">
        <v>53</v>
      </c>
      <c r="B54" s="54" t="s">
        <v>326</v>
      </c>
      <c r="C54" s="55" t="s">
        <v>332</v>
      </c>
      <c r="D54" s="55" t="s">
        <v>355</v>
      </c>
      <c r="E54" s="45">
        <v>70700</v>
      </c>
      <c r="F54" s="74"/>
      <c r="H54" s="61" t="s">
        <v>96</v>
      </c>
      <c r="I54" s="60" t="s">
        <v>378</v>
      </c>
      <c r="J54" s="45">
        <v>15500</v>
      </c>
    </row>
    <row r="55" spans="1:10">
      <c r="A55" s="63">
        <v>54</v>
      </c>
      <c r="B55" s="54" t="s">
        <v>326</v>
      </c>
      <c r="C55" s="55" t="s">
        <v>332</v>
      </c>
      <c r="D55" s="55" t="s">
        <v>356</v>
      </c>
      <c r="E55" s="45">
        <v>70700</v>
      </c>
      <c r="F55" s="74"/>
      <c r="H55" s="61" t="s">
        <v>96</v>
      </c>
      <c r="I55" s="60" t="s">
        <v>242</v>
      </c>
      <c r="J55" s="45">
        <v>15500</v>
      </c>
    </row>
    <row r="56" spans="1:10">
      <c r="A56" s="63">
        <v>55</v>
      </c>
      <c r="B56" s="54" t="s">
        <v>326</v>
      </c>
      <c r="C56" s="55" t="s">
        <v>332</v>
      </c>
      <c r="D56" s="54" t="s">
        <v>357</v>
      </c>
      <c r="E56" s="45">
        <v>70700</v>
      </c>
      <c r="F56" s="74"/>
      <c r="H56" s="61" t="s">
        <v>110</v>
      </c>
      <c r="I56" s="60" t="s">
        <v>217</v>
      </c>
      <c r="J56" s="45">
        <v>45878</v>
      </c>
    </row>
    <row r="57" spans="1:10">
      <c r="A57" s="63">
        <v>56</v>
      </c>
      <c r="B57" s="54" t="s">
        <v>326</v>
      </c>
      <c r="C57" s="55" t="s">
        <v>332</v>
      </c>
      <c r="D57" s="55" t="s">
        <v>358</v>
      </c>
      <c r="E57" s="45">
        <v>70700</v>
      </c>
      <c r="F57" s="74"/>
      <c r="H57" s="61" t="s">
        <v>110</v>
      </c>
      <c r="I57" s="60" t="s">
        <v>219</v>
      </c>
      <c r="J57" s="45">
        <v>45878</v>
      </c>
    </row>
    <row r="58" spans="1:10">
      <c r="A58" s="63">
        <v>57</v>
      </c>
      <c r="B58" s="54" t="s">
        <v>326</v>
      </c>
      <c r="C58" s="55" t="s">
        <v>332</v>
      </c>
      <c r="D58" s="54" t="s">
        <v>359</v>
      </c>
      <c r="E58" s="45">
        <v>70700</v>
      </c>
      <c r="F58" s="74"/>
      <c r="H58" s="61" t="s">
        <v>123</v>
      </c>
      <c r="I58" s="60" t="s">
        <v>223</v>
      </c>
      <c r="J58" s="45">
        <v>12700</v>
      </c>
    </row>
    <row r="59" spans="1:10">
      <c r="A59" s="63">
        <v>58</v>
      </c>
      <c r="B59" s="54" t="s">
        <v>326</v>
      </c>
      <c r="C59" s="55" t="s">
        <v>332</v>
      </c>
      <c r="D59" s="55" t="s">
        <v>350</v>
      </c>
      <c r="E59" s="45">
        <v>70700</v>
      </c>
      <c r="F59" s="74"/>
      <c r="H59" s="61" t="s">
        <v>101</v>
      </c>
      <c r="I59" s="60" t="s">
        <v>225</v>
      </c>
      <c r="J59" s="45">
        <v>12700</v>
      </c>
    </row>
    <row r="60" spans="1:10">
      <c r="A60" s="63">
        <v>59</v>
      </c>
      <c r="B60" s="54" t="s">
        <v>326</v>
      </c>
      <c r="C60" s="55" t="s">
        <v>332</v>
      </c>
      <c r="D60" s="55" t="s">
        <v>351</v>
      </c>
      <c r="E60" s="45">
        <v>70700</v>
      </c>
      <c r="F60" s="74"/>
      <c r="H60" s="68" t="s">
        <v>244</v>
      </c>
      <c r="I60" s="60" t="s">
        <v>249</v>
      </c>
      <c r="J60" s="66">
        <v>13656.48</v>
      </c>
    </row>
    <row r="61" spans="1:10">
      <c r="A61" s="63">
        <v>60</v>
      </c>
      <c r="B61" s="54" t="s">
        <v>326</v>
      </c>
      <c r="C61" s="55" t="s">
        <v>332</v>
      </c>
      <c r="D61" s="55" t="s">
        <v>352</v>
      </c>
      <c r="E61" s="45">
        <v>70700</v>
      </c>
      <c r="F61" s="74"/>
      <c r="H61" s="61" t="s">
        <v>123</v>
      </c>
      <c r="I61" s="60" t="s">
        <v>231</v>
      </c>
      <c r="J61" s="45">
        <v>12700</v>
      </c>
    </row>
    <row r="62" spans="1:10">
      <c r="A62" s="63">
        <v>61</v>
      </c>
      <c r="B62" s="54" t="s">
        <v>326</v>
      </c>
      <c r="C62" s="55" t="s">
        <v>332</v>
      </c>
      <c r="D62" s="55" t="s">
        <v>353</v>
      </c>
      <c r="E62" s="45">
        <v>70700</v>
      </c>
      <c r="F62" s="74"/>
      <c r="H62" s="60" t="s">
        <v>123</v>
      </c>
      <c r="I62" s="60" t="s">
        <v>227</v>
      </c>
      <c r="J62" s="45">
        <v>12700</v>
      </c>
    </row>
    <row r="63" spans="1:10">
      <c r="A63" s="63">
        <v>62</v>
      </c>
      <c r="B63" s="54" t="s">
        <v>326</v>
      </c>
      <c r="C63" s="55" t="s">
        <v>332</v>
      </c>
      <c r="D63" s="55" t="s">
        <v>354</v>
      </c>
      <c r="E63" s="45">
        <v>70700</v>
      </c>
      <c r="F63" s="74"/>
      <c r="H63" s="156" t="s">
        <v>110</v>
      </c>
      <c r="I63" s="157" t="s">
        <v>229</v>
      </c>
      <c r="J63" s="45">
        <v>45878</v>
      </c>
    </row>
    <row r="64" spans="1:10">
      <c r="A64" s="63">
        <v>63</v>
      </c>
      <c r="B64" s="54" t="s">
        <v>326</v>
      </c>
      <c r="C64" s="55" t="s">
        <v>332</v>
      </c>
      <c r="D64" s="55" t="s">
        <v>355</v>
      </c>
      <c r="E64" s="45">
        <v>70700</v>
      </c>
      <c r="F64" s="74"/>
      <c r="H64" s="164" t="s">
        <v>407</v>
      </c>
      <c r="I64" s="165" t="s">
        <v>408</v>
      </c>
      <c r="J64" s="167">
        <v>13500</v>
      </c>
    </row>
    <row r="65" spans="1:10">
      <c r="A65" s="63">
        <v>64</v>
      </c>
      <c r="B65" s="54" t="s">
        <v>326</v>
      </c>
      <c r="C65" s="55" t="s">
        <v>332</v>
      </c>
      <c r="D65" s="55" t="s">
        <v>356</v>
      </c>
      <c r="E65" s="45">
        <v>70700</v>
      </c>
      <c r="F65" s="74"/>
      <c r="H65" s="166" t="s">
        <v>407</v>
      </c>
      <c r="I65" s="166" t="s">
        <v>410</v>
      </c>
      <c r="J65" s="167">
        <v>13500</v>
      </c>
    </row>
    <row r="66" spans="1:10">
      <c r="A66" s="63">
        <v>65</v>
      </c>
      <c r="B66" s="54" t="s">
        <v>326</v>
      </c>
      <c r="C66" s="55" t="s">
        <v>332</v>
      </c>
      <c r="D66" s="54" t="s">
        <v>357</v>
      </c>
      <c r="E66" s="45">
        <v>70700</v>
      </c>
      <c r="F66" s="74"/>
      <c r="H66" s="166" t="s">
        <v>407</v>
      </c>
      <c r="I66" s="166" t="s">
        <v>411</v>
      </c>
      <c r="J66" s="167">
        <v>13500</v>
      </c>
    </row>
    <row r="67" spans="1:10">
      <c r="A67" s="63">
        <v>66</v>
      </c>
      <c r="B67" s="54" t="s">
        <v>326</v>
      </c>
      <c r="C67" s="55" t="s">
        <v>332</v>
      </c>
      <c r="D67" s="55" t="s">
        <v>358</v>
      </c>
      <c r="E67" s="45">
        <v>70700</v>
      </c>
      <c r="F67" s="74"/>
      <c r="H67" s="166" t="s">
        <v>407</v>
      </c>
      <c r="I67" s="166" t="s">
        <v>412</v>
      </c>
      <c r="J67" s="167">
        <v>13500</v>
      </c>
    </row>
    <row r="68" spans="1:10">
      <c r="A68" s="63">
        <v>67</v>
      </c>
      <c r="B68" s="54" t="s">
        <v>326</v>
      </c>
      <c r="C68" s="55" t="s">
        <v>332</v>
      </c>
      <c r="D68" s="54" t="s">
        <v>359</v>
      </c>
      <c r="E68" s="45">
        <v>70700</v>
      </c>
      <c r="F68" s="74"/>
    </row>
    <row r="69" spans="1:10">
      <c r="A69" s="63"/>
      <c r="B69" s="161" t="s">
        <v>326</v>
      </c>
      <c r="C69" s="162" t="s">
        <v>403</v>
      </c>
      <c r="D69" s="161" t="s">
        <v>404</v>
      </c>
      <c r="E69" s="163">
        <v>98750</v>
      </c>
      <c r="F69" s="74"/>
      <c r="I69" s="86" t="s">
        <v>396</v>
      </c>
      <c r="J69" s="111">
        <f>SUM(J2:J64)</f>
        <v>1001224.96</v>
      </c>
    </row>
    <row r="70" spans="1:10">
      <c r="A70" s="63"/>
      <c r="B70" s="161" t="s">
        <v>326</v>
      </c>
      <c r="C70" s="162" t="s">
        <v>403</v>
      </c>
      <c r="D70" s="161" t="s">
        <v>409</v>
      </c>
      <c r="E70" s="163">
        <v>98750</v>
      </c>
      <c r="F70" s="74"/>
    </row>
    <row r="71" spans="1:10">
      <c r="A71" s="63"/>
      <c r="B71" s="161" t="s">
        <v>326</v>
      </c>
      <c r="C71" s="162" t="s">
        <v>403</v>
      </c>
      <c r="D71" s="161" t="s">
        <v>406</v>
      </c>
      <c r="E71" s="163">
        <v>98750</v>
      </c>
      <c r="F71" s="74"/>
    </row>
    <row r="72" spans="1:10">
      <c r="A72" s="63"/>
      <c r="B72" s="161" t="s">
        <v>326</v>
      </c>
      <c r="C72" s="162" t="s">
        <v>403</v>
      </c>
      <c r="D72" s="161" t="s">
        <v>405</v>
      </c>
      <c r="E72" s="163">
        <v>98750</v>
      </c>
      <c r="F72" s="74"/>
    </row>
    <row r="73" spans="1:10">
      <c r="A73" s="63">
        <v>68</v>
      </c>
      <c r="B73" s="60"/>
      <c r="C73" s="55" t="s">
        <v>360</v>
      </c>
      <c r="D73" s="54" t="s">
        <v>361</v>
      </c>
      <c r="E73" s="45">
        <v>92900</v>
      </c>
      <c r="F73" s="74"/>
    </row>
    <row r="74" spans="1:10">
      <c r="A74" s="63">
        <v>69</v>
      </c>
      <c r="B74" s="60"/>
      <c r="C74" s="55" t="s">
        <v>362</v>
      </c>
      <c r="D74" s="55" t="s">
        <v>363</v>
      </c>
      <c r="E74" s="63">
        <v>60500</v>
      </c>
      <c r="F74" s="114"/>
    </row>
    <row r="75" spans="1:10">
      <c r="A75" s="63">
        <v>70</v>
      </c>
      <c r="B75" s="60"/>
      <c r="C75" s="55" t="s">
        <v>364</v>
      </c>
      <c r="D75" s="55" t="s">
        <v>365</v>
      </c>
      <c r="E75" s="63">
        <v>25000</v>
      </c>
      <c r="F75" s="114"/>
    </row>
    <row r="76" spans="1:10">
      <c r="D76" s="86" t="s">
        <v>395</v>
      </c>
      <c r="E76" s="111">
        <f>SUM(E2:E75)</f>
        <v>5087116</v>
      </c>
      <c r="F76" s="8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G24"/>
  <sheetViews>
    <sheetView tabSelected="1" workbookViewId="0">
      <selection activeCell="C21" sqref="C21"/>
    </sheetView>
  </sheetViews>
  <sheetFormatPr defaultColWidth="12.7109375" defaultRowHeight="15.75" customHeight="1"/>
  <cols>
    <col min="1" max="1" width="12.7109375" style="8"/>
    <col min="2" max="2" width="44.42578125" style="8" customWidth="1"/>
    <col min="3" max="16384" width="12.7109375" style="8"/>
  </cols>
  <sheetData>
    <row r="2" spans="1:7" ht="15.75" customHeight="1">
      <c r="A2" s="150" t="s">
        <v>257</v>
      </c>
      <c r="B2" s="151"/>
      <c r="C2" s="116" t="s">
        <v>4</v>
      </c>
      <c r="D2" s="107" t="s">
        <v>5</v>
      </c>
      <c r="E2" s="107" t="s">
        <v>6</v>
      </c>
      <c r="F2" s="108" t="s">
        <v>393</v>
      </c>
      <c r="G2" s="108" t="s">
        <v>394</v>
      </c>
    </row>
    <row r="3" spans="1:7" ht="12.75">
      <c r="A3" s="9" t="s">
        <v>94</v>
      </c>
      <c r="B3" s="20" t="s">
        <v>3</v>
      </c>
      <c r="C3" s="10"/>
      <c r="D3" s="22"/>
      <c r="E3" s="22"/>
      <c r="F3" s="22"/>
      <c r="G3" s="22"/>
    </row>
    <row r="4" spans="1:7" ht="12.75">
      <c r="A4" s="9">
        <v>1</v>
      </c>
      <c r="B4" s="69" t="s">
        <v>258</v>
      </c>
      <c r="C4" s="10">
        <v>15000</v>
      </c>
      <c r="D4" s="22">
        <f>C4</f>
        <v>15000</v>
      </c>
      <c r="E4" s="22">
        <f>C4</f>
        <v>15000</v>
      </c>
      <c r="F4" s="22"/>
      <c r="G4" s="22">
        <f>C4</f>
        <v>15000</v>
      </c>
    </row>
    <row r="5" spans="1:7" ht="12.75">
      <c r="A5" s="9">
        <v>2</v>
      </c>
      <c r="B5" s="70" t="s">
        <v>259</v>
      </c>
      <c r="C5" s="53">
        <v>13000</v>
      </c>
      <c r="D5" s="22">
        <f t="shared" ref="D5:D8" si="0">C5</f>
        <v>13000</v>
      </c>
      <c r="E5" s="22">
        <f t="shared" ref="E5:E8" si="1">C5</f>
        <v>13000</v>
      </c>
      <c r="F5" s="22"/>
      <c r="G5" s="22">
        <f t="shared" ref="G5:G8" si="2">C5</f>
        <v>13000</v>
      </c>
    </row>
    <row r="6" spans="1:7" ht="12.75">
      <c r="A6" s="9">
        <v>3</v>
      </c>
      <c r="B6" s="71" t="s">
        <v>260</v>
      </c>
      <c r="C6" s="53">
        <v>13499</v>
      </c>
      <c r="D6" s="22">
        <f t="shared" si="0"/>
        <v>13499</v>
      </c>
      <c r="E6" s="22">
        <f t="shared" si="1"/>
        <v>13499</v>
      </c>
      <c r="F6" s="22"/>
      <c r="G6" s="22">
        <f t="shared" si="2"/>
        <v>13499</v>
      </c>
    </row>
    <row r="7" spans="1:7" ht="12.75">
      <c r="A7" s="9">
        <v>4</v>
      </c>
      <c r="B7" s="71" t="s">
        <v>260</v>
      </c>
      <c r="C7" s="53">
        <v>12999</v>
      </c>
      <c r="D7" s="22">
        <f t="shared" si="0"/>
        <v>12999</v>
      </c>
      <c r="E7" s="22">
        <f t="shared" si="1"/>
        <v>12999</v>
      </c>
      <c r="F7" s="22"/>
      <c r="G7" s="22">
        <f t="shared" si="2"/>
        <v>12999</v>
      </c>
    </row>
    <row r="8" spans="1:7" ht="12.75">
      <c r="A8" s="9">
        <v>5</v>
      </c>
      <c r="B8" s="70" t="s">
        <v>261</v>
      </c>
      <c r="C8" s="53">
        <v>22500</v>
      </c>
      <c r="D8" s="22">
        <f t="shared" si="0"/>
        <v>22500</v>
      </c>
      <c r="E8" s="22">
        <f t="shared" si="1"/>
        <v>22500</v>
      </c>
      <c r="F8" s="22"/>
      <c r="G8" s="22">
        <f t="shared" si="2"/>
        <v>22500</v>
      </c>
    </row>
    <row r="9" spans="1:7" ht="15.75" customHeight="1">
      <c r="D9" s="22"/>
      <c r="E9" s="22"/>
      <c r="F9" s="22"/>
      <c r="G9" s="22"/>
    </row>
    <row r="10" spans="1:7" ht="12.75">
      <c r="A10" s="9" t="s">
        <v>94</v>
      </c>
      <c r="B10" s="7" t="s">
        <v>7</v>
      </c>
      <c r="C10" s="116" t="s">
        <v>4</v>
      </c>
      <c r="D10" s="22"/>
      <c r="E10" s="22"/>
      <c r="F10" s="22"/>
      <c r="G10" s="22"/>
    </row>
    <row r="11" spans="1:7" ht="25.5">
      <c r="A11" s="9">
        <v>1</v>
      </c>
      <c r="B11" s="72" t="s">
        <v>262</v>
      </c>
      <c r="C11" s="53">
        <v>35999</v>
      </c>
      <c r="D11" s="22"/>
      <c r="E11" s="22"/>
      <c r="F11" s="22">
        <f>C11</f>
        <v>35999</v>
      </c>
      <c r="G11" s="22"/>
    </row>
    <row r="12" spans="1:7" ht="12.75">
      <c r="A12" s="9">
        <v>2</v>
      </c>
      <c r="B12" s="45" t="s">
        <v>263</v>
      </c>
      <c r="C12" s="53">
        <v>41900</v>
      </c>
      <c r="D12" s="22"/>
      <c r="E12" s="22"/>
      <c r="F12" s="22">
        <f>C12</f>
        <v>41900</v>
      </c>
      <c r="G12" s="22"/>
    </row>
    <row r="13" spans="1:7" ht="12.75">
      <c r="A13" s="9">
        <v>3</v>
      </c>
      <c r="B13" s="9"/>
      <c r="C13" s="10"/>
      <c r="D13" s="22"/>
      <c r="E13" s="22"/>
      <c r="F13" s="22"/>
      <c r="G13" s="22"/>
    </row>
    <row r="14" spans="1:7" ht="12.75">
      <c r="A14" s="9">
        <v>4</v>
      </c>
      <c r="B14" s="9"/>
      <c r="C14" s="10"/>
      <c r="D14" s="22"/>
      <c r="E14" s="22"/>
      <c r="F14" s="22"/>
      <c r="G14" s="22"/>
    </row>
    <row r="15" spans="1:7" ht="15.75" customHeight="1">
      <c r="D15" s="22"/>
      <c r="E15" s="22"/>
      <c r="F15" s="22"/>
      <c r="G15" s="22"/>
    </row>
    <row r="16" spans="1:7" ht="12.75">
      <c r="A16" s="9" t="s">
        <v>94</v>
      </c>
      <c r="B16" s="42" t="s">
        <v>264</v>
      </c>
      <c r="C16" s="116" t="s">
        <v>4</v>
      </c>
      <c r="D16" s="22"/>
      <c r="E16" s="22"/>
      <c r="F16" s="22"/>
      <c r="G16" s="22"/>
    </row>
    <row r="17" spans="1:7" ht="12.75">
      <c r="A17" s="9">
        <v>1</v>
      </c>
      <c r="B17" s="45" t="s">
        <v>265</v>
      </c>
      <c r="C17" s="53">
        <v>22900</v>
      </c>
      <c r="D17" s="22">
        <f>C17</f>
        <v>22900</v>
      </c>
      <c r="E17" s="22">
        <f>C17</f>
        <v>22900</v>
      </c>
      <c r="F17" s="22"/>
      <c r="G17" s="22">
        <f>C17</f>
        <v>22900</v>
      </c>
    </row>
    <row r="18" spans="1:7" ht="12.75">
      <c r="A18" s="9">
        <v>2</v>
      </c>
      <c r="B18" s="45"/>
      <c r="C18" s="10"/>
      <c r="D18" s="22"/>
      <c r="E18" s="22"/>
      <c r="F18" s="22"/>
      <c r="G18" s="22"/>
    </row>
    <row r="19" spans="1:7" ht="12.75">
      <c r="A19" s="158"/>
      <c r="B19" s="159"/>
      <c r="C19" s="158"/>
      <c r="D19" s="160"/>
      <c r="E19" s="160"/>
      <c r="F19" s="160"/>
      <c r="G19" s="160"/>
    </row>
    <row r="20" spans="1:7" ht="12.75">
      <c r="A20" s="9" t="s">
        <v>94</v>
      </c>
      <c r="B20" s="42" t="s">
        <v>290</v>
      </c>
      <c r="C20" s="116" t="s">
        <v>4</v>
      </c>
      <c r="D20" s="160"/>
      <c r="E20" s="160"/>
      <c r="F20" s="160"/>
      <c r="G20" s="160"/>
    </row>
    <row r="21" spans="1:7" ht="15">
      <c r="A21" s="158">
        <v>1</v>
      </c>
      <c r="B21" t="s">
        <v>413</v>
      </c>
      <c r="C21" s="158">
        <v>54902</v>
      </c>
      <c r="D21" s="160"/>
      <c r="E21" s="160"/>
      <c r="F21" s="160"/>
      <c r="G21" s="160"/>
    </row>
    <row r="22" spans="1:7" ht="15">
      <c r="A22" s="158">
        <v>2</v>
      </c>
      <c r="B22" t="s">
        <v>413</v>
      </c>
      <c r="C22" s="158">
        <v>54902</v>
      </c>
      <c r="D22" s="160"/>
      <c r="E22" s="160"/>
      <c r="F22" s="160"/>
      <c r="G22" s="160"/>
    </row>
    <row r="24" spans="1:7" ht="15.75" customHeight="1">
      <c r="B24" s="115"/>
      <c r="C24" s="115"/>
      <c r="D24" s="87">
        <f>SUM(D4:D18)</f>
        <v>99898</v>
      </c>
      <c r="E24" s="87">
        <f>SUM(E3:E18)</f>
        <v>99898</v>
      </c>
      <c r="F24" s="87">
        <f>SUM(F3:F17)</f>
        <v>77899</v>
      </c>
      <c r="G24" s="87">
        <f>SUM(G3:G18)</f>
        <v>99898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80A2-D211-4D4E-81D2-CE26229CDD24}">
  <dimension ref="A1:H44"/>
  <sheetViews>
    <sheetView topLeftCell="A19" workbookViewId="0">
      <selection activeCell="K42" sqref="K42"/>
    </sheetView>
  </sheetViews>
  <sheetFormatPr defaultRowHeight="15"/>
  <cols>
    <col min="2" max="2" width="52" customWidth="1"/>
    <col min="3" max="3" width="23.7109375" customWidth="1"/>
    <col min="4" max="4" width="26.28515625" customWidth="1"/>
  </cols>
  <sheetData>
    <row r="1" spans="1:8" ht="15.75">
      <c r="A1" s="152" t="s">
        <v>307</v>
      </c>
      <c r="B1" s="153"/>
      <c r="C1" s="153"/>
      <c r="D1" s="153"/>
    </row>
    <row r="2" spans="1:8">
      <c r="A2" s="73" t="s">
        <v>267</v>
      </c>
      <c r="B2" s="42" t="s">
        <v>381</v>
      </c>
      <c r="C2" s="42" t="s">
        <v>15</v>
      </c>
      <c r="D2" s="99" t="s">
        <v>4</v>
      </c>
      <c r="E2" s="107" t="s">
        <v>5</v>
      </c>
      <c r="F2" s="107" t="s">
        <v>6</v>
      </c>
      <c r="G2" s="108" t="s">
        <v>393</v>
      </c>
      <c r="H2" s="108" t="s">
        <v>394</v>
      </c>
    </row>
    <row r="3" spans="1:8">
      <c r="A3" s="76">
        <v>1</v>
      </c>
      <c r="B3" s="35" t="s">
        <v>308</v>
      </c>
      <c r="C3" s="35">
        <v>3</v>
      </c>
      <c r="D3" s="100">
        <v>6885</v>
      </c>
      <c r="E3" s="110">
        <f>D3</f>
        <v>6885</v>
      </c>
      <c r="F3" s="110">
        <f>D3</f>
        <v>6885</v>
      </c>
      <c r="G3" s="110"/>
      <c r="H3" s="109"/>
    </row>
    <row r="4" spans="1:8">
      <c r="A4" s="76">
        <v>2</v>
      </c>
      <c r="B4" s="77" t="s">
        <v>309</v>
      </c>
      <c r="C4" s="77">
        <v>1</v>
      </c>
      <c r="D4" s="100">
        <v>9112</v>
      </c>
      <c r="E4" s="109"/>
      <c r="F4" s="109"/>
      <c r="G4" s="110">
        <f t="shared" ref="G4" si="0">D4</f>
        <v>9112</v>
      </c>
      <c r="H4" s="109"/>
    </row>
    <row r="5" spans="1:8">
      <c r="A5" s="76">
        <v>3</v>
      </c>
      <c r="B5" s="77" t="s">
        <v>310</v>
      </c>
      <c r="C5" s="77">
        <v>1</v>
      </c>
      <c r="D5" s="101">
        <v>100</v>
      </c>
      <c r="E5" s="110">
        <f>D5</f>
        <v>100</v>
      </c>
      <c r="F5" s="110">
        <f t="shared" ref="F5:F7" si="1">D5</f>
        <v>100</v>
      </c>
      <c r="G5" s="110"/>
      <c r="H5" s="109"/>
    </row>
    <row r="6" spans="1:8">
      <c r="A6" s="76">
        <v>4</v>
      </c>
      <c r="B6" s="77" t="s">
        <v>311</v>
      </c>
      <c r="C6" s="77">
        <v>80</v>
      </c>
      <c r="D6" s="100">
        <v>1120</v>
      </c>
      <c r="E6" s="110">
        <f>D6</f>
        <v>1120</v>
      </c>
      <c r="F6" s="110">
        <f t="shared" si="1"/>
        <v>1120</v>
      </c>
      <c r="G6" s="110"/>
      <c r="H6" s="109"/>
    </row>
    <row r="7" spans="1:8">
      <c r="A7" s="76">
        <v>5</v>
      </c>
      <c r="B7" s="77" t="s">
        <v>312</v>
      </c>
      <c r="C7" s="77">
        <v>6</v>
      </c>
      <c r="D7" s="100">
        <v>5910</v>
      </c>
      <c r="E7" s="110">
        <f>D7</f>
        <v>5910</v>
      </c>
      <c r="F7" s="110">
        <f t="shared" si="1"/>
        <v>5910</v>
      </c>
      <c r="G7" s="110"/>
      <c r="H7" s="109"/>
    </row>
    <row r="8" spans="1:8">
      <c r="A8" s="74"/>
      <c r="B8" s="91" t="s">
        <v>293</v>
      </c>
      <c r="C8" s="93"/>
      <c r="D8" s="94">
        <f>SUM(D3:D7)</f>
        <v>23127</v>
      </c>
      <c r="E8" s="109"/>
      <c r="F8" s="109"/>
      <c r="G8" s="109"/>
      <c r="H8" s="109"/>
    </row>
    <row r="9" spans="1:8">
      <c r="A9" s="75"/>
      <c r="B9" s="75"/>
      <c r="C9" s="75"/>
      <c r="D9" s="75"/>
      <c r="E9" s="109"/>
      <c r="F9" s="109"/>
      <c r="G9" s="109"/>
      <c r="H9" s="109"/>
    </row>
    <row r="10" spans="1:8" ht="15.75">
      <c r="A10" s="154" t="s">
        <v>313</v>
      </c>
      <c r="B10" s="148"/>
      <c r="C10" s="148"/>
      <c r="D10" s="148"/>
      <c r="E10" s="109"/>
      <c r="F10" s="109"/>
      <c r="G10" s="109"/>
      <c r="H10" s="109"/>
    </row>
    <row r="11" spans="1:8">
      <c r="A11" s="73" t="s">
        <v>267</v>
      </c>
      <c r="B11" s="42" t="s">
        <v>379</v>
      </c>
      <c r="C11" s="42" t="s">
        <v>15</v>
      </c>
      <c r="D11" s="99" t="s">
        <v>4</v>
      </c>
      <c r="E11" s="109"/>
      <c r="F11" s="109"/>
      <c r="G11" s="109"/>
      <c r="H11" s="109"/>
    </row>
    <row r="12" spans="1:8">
      <c r="A12" s="29">
        <v>1</v>
      </c>
      <c r="B12" s="36" t="s">
        <v>314</v>
      </c>
      <c r="C12" s="36">
        <v>2</v>
      </c>
      <c r="D12" s="101">
        <v>29200</v>
      </c>
      <c r="E12" s="109"/>
      <c r="F12" s="109"/>
      <c r="G12" s="109">
        <f>D12</f>
        <v>29200</v>
      </c>
      <c r="H12" s="109"/>
    </row>
    <row r="13" spans="1:8">
      <c r="A13" s="76">
        <v>2</v>
      </c>
      <c r="B13" s="80" t="s">
        <v>315</v>
      </c>
      <c r="C13" s="80">
        <v>1</v>
      </c>
      <c r="D13" s="101">
        <v>6960</v>
      </c>
      <c r="E13" s="109"/>
      <c r="F13" s="109"/>
      <c r="G13" s="109">
        <f t="shared" ref="G13:G14" si="2">D13</f>
        <v>6960</v>
      </c>
      <c r="H13" s="109"/>
    </row>
    <row r="14" spans="1:8">
      <c r="A14" s="76">
        <v>3</v>
      </c>
      <c r="B14" s="77" t="s">
        <v>316</v>
      </c>
      <c r="C14" s="77">
        <v>1</v>
      </c>
      <c r="D14" s="101">
        <v>4910</v>
      </c>
      <c r="E14" s="109"/>
      <c r="F14" s="109"/>
      <c r="G14" s="109">
        <f t="shared" si="2"/>
        <v>4910</v>
      </c>
      <c r="H14" s="109"/>
    </row>
    <row r="15" spans="1:8">
      <c r="A15" s="76">
        <v>4</v>
      </c>
      <c r="B15" s="77" t="s">
        <v>317</v>
      </c>
      <c r="C15" s="77">
        <v>2</v>
      </c>
      <c r="D15" s="101">
        <v>935</v>
      </c>
      <c r="E15" s="109">
        <f>D15</f>
        <v>935</v>
      </c>
      <c r="F15" s="109">
        <f>D15</f>
        <v>935</v>
      </c>
      <c r="G15" s="109"/>
      <c r="H15" s="109"/>
    </row>
    <row r="16" spans="1:8">
      <c r="A16" s="76">
        <v>5</v>
      </c>
      <c r="B16" s="77" t="s">
        <v>318</v>
      </c>
      <c r="C16" s="77">
        <v>2</v>
      </c>
      <c r="D16" s="101">
        <v>965</v>
      </c>
      <c r="E16" s="109">
        <f>D16</f>
        <v>965</v>
      </c>
      <c r="F16" s="109">
        <f>D16</f>
        <v>965</v>
      </c>
      <c r="G16" s="109"/>
      <c r="H16" s="109"/>
    </row>
    <row r="17" spans="1:8">
      <c r="A17" s="74"/>
      <c r="B17" s="91" t="s">
        <v>293</v>
      </c>
      <c r="C17" s="92"/>
      <c r="D17" s="91">
        <f>SUM(D12:D16)</f>
        <v>42970</v>
      </c>
      <c r="E17" s="109"/>
      <c r="F17" s="109"/>
      <c r="G17" s="109"/>
      <c r="H17" s="109"/>
    </row>
    <row r="18" spans="1:8">
      <c r="A18" s="74"/>
      <c r="B18" s="74"/>
      <c r="C18" s="74"/>
      <c r="D18" s="74"/>
      <c r="E18" s="109"/>
      <c r="F18" s="109"/>
      <c r="G18" s="109"/>
      <c r="H18" s="109"/>
    </row>
    <row r="19" spans="1:8" ht="15.75">
      <c r="A19" s="154" t="s">
        <v>319</v>
      </c>
      <c r="B19" s="148"/>
      <c r="C19" s="148"/>
      <c r="D19" s="148"/>
      <c r="E19" s="109"/>
      <c r="F19" s="109"/>
      <c r="G19" s="109"/>
      <c r="H19" s="109"/>
    </row>
    <row r="20" spans="1:8">
      <c r="A20" s="73" t="s">
        <v>267</v>
      </c>
      <c r="B20" s="42" t="s">
        <v>381</v>
      </c>
      <c r="C20" s="42" t="s">
        <v>15</v>
      </c>
      <c r="D20" s="99" t="s">
        <v>4</v>
      </c>
      <c r="E20" s="109"/>
      <c r="F20" s="109"/>
      <c r="G20" s="109"/>
      <c r="H20" s="109"/>
    </row>
    <row r="21" spans="1:8">
      <c r="A21" s="29">
        <v>1</v>
      </c>
      <c r="B21" s="29" t="s">
        <v>320</v>
      </c>
      <c r="C21" s="29">
        <v>4</v>
      </c>
      <c r="D21" s="78">
        <v>36040</v>
      </c>
      <c r="E21" s="109"/>
      <c r="F21" s="109"/>
      <c r="G21" s="109">
        <f>D21</f>
        <v>36040</v>
      </c>
      <c r="H21" s="109"/>
    </row>
    <row r="22" spans="1:8">
      <c r="A22" s="29">
        <v>2</v>
      </c>
      <c r="B22" s="29" t="s">
        <v>321</v>
      </c>
      <c r="C22" s="29" t="s">
        <v>322</v>
      </c>
      <c r="D22" s="78">
        <v>4200</v>
      </c>
      <c r="E22" s="109">
        <f>D22</f>
        <v>4200</v>
      </c>
      <c r="F22" s="109">
        <f>D22</f>
        <v>4200</v>
      </c>
      <c r="G22" s="109"/>
      <c r="H22" s="109"/>
    </row>
    <row r="23" spans="1:8">
      <c r="A23" s="29">
        <v>3</v>
      </c>
      <c r="B23" s="29" t="s">
        <v>323</v>
      </c>
      <c r="C23" s="29">
        <v>4</v>
      </c>
      <c r="D23" s="78">
        <v>580</v>
      </c>
      <c r="E23" s="109">
        <f>D23</f>
        <v>580</v>
      </c>
      <c r="F23" s="109">
        <f>D23</f>
        <v>580</v>
      </c>
      <c r="G23" s="109"/>
      <c r="H23" s="109"/>
    </row>
    <row r="24" spans="1:8">
      <c r="A24" s="29">
        <v>4</v>
      </c>
      <c r="B24" s="29" t="s">
        <v>324</v>
      </c>
      <c r="C24" s="29">
        <v>1</v>
      </c>
      <c r="D24" s="78">
        <v>13100</v>
      </c>
      <c r="E24" s="109"/>
      <c r="F24" s="109"/>
      <c r="G24" s="109">
        <f t="shared" ref="G24" si="3">D24</f>
        <v>13100</v>
      </c>
      <c r="H24" s="109"/>
    </row>
    <row r="25" spans="1:8">
      <c r="A25" s="88"/>
      <c r="B25" s="89" t="s">
        <v>293</v>
      </c>
      <c r="C25" s="90"/>
      <c r="D25" s="89">
        <f>SUM(D21:D24)</f>
        <v>53920</v>
      </c>
      <c r="E25" s="109"/>
      <c r="F25" s="109"/>
      <c r="G25" s="109"/>
      <c r="H25" s="109"/>
    </row>
    <row r="26" spans="1:8">
      <c r="E26" s="109"/>
      <c r="F26" s="109"/>
      <c r="G26" s="109"/>
      <c r="H26" s="109"/>
    </row>
    <row r="27" spans="1:8" ht="15.75">
      <c r="A27" s="155" t="s">
        <v>382</v>
      </c>
      <c r="B27" s="148"/>
      <c r="C27" s="148"/>
      <c r="D27" s="148"/>
      <c r="E27" s="109"/>
      <c r="F27" s="109"/>
      <c r="G27" s="109"/>
      <c r="H27" s="109"/>
    </row>
    <row r="28" spans="1:8">
      <c r="A28" s="73" t="s">
        <v>267</v>
      </c>
      <c r="B28" s="42" t="s">
        <v>379</v>
      </c>
      <c r="C28" s="42" t="s">
        <v>15</v>
      </c>
      <c r="D28" s="99" t="s">
        <v>4</v>
      </c>
      <c r="E28" s="109"/>
      <c r="F28" s="109"/>
      <c r="G28" s="109"/>
      <c r="H28" s="109"/>
    </row>
    <row r="29" spans="1:8">
      <c r="A29" s="29">
        <v>1</v>
      </c>
      <c r="B29" s="29" t="s">
        <v>383</v>
      </c>
      <c r="C29" s="29">
        <v>1</v>
      </c>
      <c r="D29" s="102">
        <v>25000</v>
      </c>
      <c r="E29" s="109">
        <f>D29</f>
        <v>25000</v>
      </c>
      <c r="F29" s="109">
        <f>D29</f>
        <v>25000</v>
      </c>
      <c r="G29" s="109"/>
      <c r="H29" s="109">
        <f>D29</f>
        <v>25000</v>
      </c>
    </row>
    <row r="30" spans="1:8">
      <c r="A30" s="29">
        <v>2</v>
      </c>
      <c r="B30" s="29" t="s">
        <v>384</v>
      </c>
      <c r="C30" s="29">
        <v>1</v>
      </c>
      <c r="D30" s="102">
        <v>10000</v>
      </c>
      <c r="E30" s="109">
        <f t="shared" ref="E30:E31" si="4">D30</f>
        <v>10000</v>
      </c>
      <c r="F30" s="109">
        <f t="shared" ref="F30:F31" si="5">D30</f>
        <v>10000</v>
      </c>
      <c r="G30" s="109"/>
      <c r="H30" s="109">
        <f>D30</f>
        <v>10000</v>
      </c>
    </row>
    <row r="31" spans="1:8">
      <c r="A31" s="29">
        <v>3</v>
      </c>
      <c r="B31" s="29" t="s">
        <v>385</v>
      </c>
      <c r="C31" s="29">
        <v>1</v>
      </c>
      <c r="D31" s="102">
        <v>6000</v>
      </c>
      <c r="E31" s="109">
        <f t="shared" si="4"/>
        <v>6000</v>
      </c>
      <c r="F31" s="109">
        <f t="shared" si="5"/>
        <v>6000</v>
      </c>
      <c r="G31" s="109"/>
      <c r="H31" s="109">
        <f>D31</f>
        <v>6000</v>
      </c>
    </row>
    <row r="32" spans="1:8">
      <c r="A32" s="29">
        <v>4</v>
      </c>
      <c r="B32" s="29" t="s">
        <v>7</v>
      </c>
      <c r="C32" s="29">
        <v>2</v>
      </c>
      <c r="D32" s="102">
        <f>45000+30000</f>
        <v>75000</v>
      </c>
      <c r="E32" s="109"/>
      <c r="F32" s="109"/>
      <c r="G32" s="109">
        <f>D32</f>
        <v>75000</v>
      </c>
      <c r="H32" s="109"/>
    </row>
    <row r="33" spans="1:8">
      <c r="A33" s="29">
        <v>5</v>
      </c>
      <c r="B33" s="29" t="s">
        <v>386</v>
      </c>
      <c r="C33" s="29">
        <v>2</v>
      </c>
      <c r="D33" s="102">
        <f>25000+15000</f>
        <v>40000</v>
      </c>
      <c r="E33" s="109"/>
      <c r="F33" s="109"/>
      <c r="G33" s="109">
        <f>D33</f>
        <v>40000</v>
      </c>
      <c r="H33" s="109"/>
    </row>
    <row r="34" spans="1:8">
      <c r="A34" s="81">
        <v>6</v>
      </c>
      <c r="B34" s="33" t="s">
        <v>289</v>
      </c>
      <c r="C34" s="33">
        <v>3</v>
      </c>
      <c r="D34" s="103">
        <v>20000</v>
      </c>
      <c r="E34" s="109">
        <f>H34</f>
        <v>20000</v>
      </c>
      <c r="F34" s="103">
        <v>20000</v>
      </c>
      <c r="G34" s="109"/>
      <c r="H34" s="109">
        <f>D34</f>
        <v>20000</v>
      </c>
    </row>
    <row r="35" spans="1:8">
      <c r="A35" s="29">
        <v>7</v>
      </c>
      <c r="B35" s="35" t="s">
        <v>290</v>
      </c>
      <c r="C35" s="35" t="s">
        <v>272</v>
      </c>
      <c r="D35" s="104">
        <v>361926</v>
      </c>
      <c r="E35" s="109">
        <f>D35</f>
        <v>361926</v>
      </c>
      <c r="F35" s="104">
        <v>361926</v>
      </c>
      <c r="G35" s="109"/>
      <c r="H35" s="109">
        <f>D35</f>
        <v>361926</v>
      </c>
    </row>
    <row r="36" spans="1:8">
      <c r="A36" s="76">
        <v>8</v>
      </c>
      <c r="B36" s="77" t="s">
        <v>291</v>
      </c>
      <c r="C36" s="77" t="s">
        <v>272</v>
      </c>
      <c r="D36" s="101">
        <v>14250</v>
      </c>
      <c r="E36" s="109"/>
      <c r="F36" s="109"/>
      <c r="G36" s="109">
        <f>D36</f>
        <v>14250</v>
      </c>
      <c r="H36" s="109"/>
    </row>
    <row r="37" spans="1:8">
      <c r="A37" s="76">
        <v>9</v>
      </c>
      <c r="B37" s="77" t="s">
        <v>292</v>
      </c>
      <c r="C37" s="77" t="s">
        <v>272</v>
      </c>
      <c r="D37" s="101">
        <v>260000</v>
      </c>
      <c r="E37" s="109">
        <f>D37</f>
        <v>260000</v>
      </c>
      <c r="F37" s="109">
        <f>D37</f>
        <v>260000</v>
      </c>
      <c r="G37" s="109"/>
      <c r="H37" s="109">
        <f>D37</f>
        <v>260000</v>
      </c>
    </row>
    <row r="38" spans="1:8">
      <c r="A38" s="73">
        <v>10</v>
      </c>
      <c r="B38" s="73" t="s">
        <v>387</v>
      </c>
      <c r="C38" s="73">
        <v>1</v>
      </c>
      <c r="D38" s="102">
        <v>25000</v>
      </c>
      <c r="E38" s="109">
        <f>D38</f>
        <v>25000</v>
      </c>
      <c r="F38" s="109">
        <f>D38</f>
        <v>25000</v>
      </c>
      <c r="G38" s="109"/>
      <c r="H38" s="109">
        <f>D38</f>
        <v>25000</v>
      </c>
    </row>
    <row r="39" spans="1:8">
      <c r="A39" s="73">
        <v>11</v>
      </c>
      <c r="B39" s="73" t="s">
        <v>388</v>
      </c>
      <c r="C39" s="73">
        <v>1</v>
      </c>
      <c r="D39" s="102">
        <v>10000</v>
      </c>
      <c r="E39" s="109">
        <f>D39</f>
        <v>10000</v>
      </c>
      <c r="F39" s="109">
        <f>D39</f>
        <v>10000</v>
      </c>
      <c r="G39" s="109"/>
      <c r="H39" s="109">
        <f>D39</f>
        <v>10000</v>
      </c>
    </row>
    <row r="40" spans="1:8">
      <c r="A40" s="82">
        <v>13</v>
      </c>
      <c r="B40" s="82" t="s">
        <v>389</v>
      </c>
      <c r="C40" s="82">
        <v>1</v>
      </c>
      <c r="D40" s="105">
        <v>12000</v>
      </c>
      <c r="E40" s="109">
        <f>D40</f>
        <v>12000</v>
      </c>
      <c r="F40" s="109">
        <f>D40</f>
        <v>12000</v>
      </c>
      <c r="G40" s="109"/>
      <c r="H40" s="109"/>
    </row>
    <row r="41" spans="1:8">
      <c r="A41" s="82">
        <v>14</v>
      </c>
      <c r="B41" s="82" t="s">
        <v>390</v>
      </c>
      <c r="C41" s="82">
        <v>1</v>
      </c>
      <c r="D41" s="105">
        <v>10000</v>
      </c>
      <c r="E41" s="109">
        <f>D41</f>
        <v>10000</v>
      </c>
      <c r="F41" s="109">
        <f>D41</f>
        <v>10000</v>
      </c>
      <c r="G41" s="109"/>
      <c r="H41" s="109">
        <f>D41</f>
        <v>10000</v>
      </c>
    </row>
    <row r="42" spans="1:8">
      <c r="A42" s="82"/>
      <c r="B42" s="95" t="s">
        <v>293</v>
      </c>
      <c r="C42" s="96"/>
      <c r="D42" s="106">
        <f>SUM(D29:D41)</f>
        <v>869176</v>
      </c>
      <c r="E42" s="109"/>
      <c r="F42" s="109"/>
      <c r="G42" s="109"/>
      <c r="H42" s="109"/>
    </row>
    <row r="44" spans="1:8">
      <c r="B44" s="97" t="s">
        <v>392</v>
      </c>
      <c r="C44" s="97"/>
      <c r="D44" s="98"/>
      <c r="E44" s="111">
        <f>SUM(E29:E41)</f>
        <v>739926</v>
      </c>
      <c r="F44" s="111">
        <f>SUM(F29:F41)</f>
        <v>739926</v>
      </c>
      <c r="G44" s="112">
        <f>SUM(G3:G41)</f>
        <v>228572</v>
      </c>
      <c r="H44" s="111">
        <f>SUM(H29:H41)</f>
        <v>727926</v>
      </c>
    </row>
  </sheetData>
  <mergeCells count="4">
    <mergeCell ref="A1:D1"/>
    <mergeCell ref="A10:D10"/>
    <mergeCell ref="A19:D19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RFQ</vt:lpstr>
      <vt:lpstr>Workstn and Glass Kochi</vt:lpstr>
      <vt:lpstr>Workstn and Glass TVM</vt:lpstr>
      <vt:lpstr>Lights and Fitting TVM</vt:lpstr>
      <vt:lpstr>Light and Fitting Kochi</vt:lpstr>
      <vt:lpstr>Laptops and Monitors kochi</vt:lpstr>
      <vt:lpstr>Laptops and Monitor TVM</vt:lpstr>
      <vt:lpstr>Other Assets Items TVM</vt:lpstr>
      <vt:lpstr>Other Assets Kochi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sugu</dc:creator>
  <cp:lastModifiedBy>Manoj D</cp:lastModifiedBy>
  <dcterms:created xsi:type="dcterms:W3CDTF">2019-03-15T04:07:55Z</dcterms:created>
  <dcterms:modified xsi:type="dcterms:W3CDTF">2026-09-16T06:45:57Z</dcterms:modified>
</cp:coreProperties>
</file>